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41d4f45507611/job stuff/"/>
    </mc:Choice>
  </mc:AlternateContent>
  <xr:revisionPtr revIDLastSave="0" documentId="13_ncr:2001_{155EE8AE-626A-40CD-B2EA-AE7596768C7D}" xr6:coauthVersionLast="47" xr6:coauthVersionMax="47" xr10:uidLastSave="{00000000-0000-0000-0000-000000000000}"/>
  <bookViews>
    <workbookView xWindow="-28920" yWindow="-10650" windowWidth="29040" windowHeight="15720" activeTab="2" xr2:uid="{405A8B82-D6E5-405A-A078-35540E9597EE}"/>
  </bookViews>
  <sheets>
    <sheet name="Sales Data" sheetId="1" r:id="rId1"/>
    <sheet name="Pivot tables and measures" sheetId="2" r:id="rId2"/>
    <sheet name="Dashboard" sheetId="4" r:id="rId3"/>
  </sheets>
  <definedNames>
    <definedName name="cy_cost">'Pivot tables and measures'!$D$5</definedName>
    <definedName name="cy_profit">'Pivot tables and measures'!$E$5</definedName>
    <definedName name="cy_quantity">'Pivot tables and measures'!$C$5</definedName>
    <definedName name="cy_sales">'Pivot tables and measures'!$B$5</definedName>
    <definedName name="ly_cost">'Pivot tables and measures'!$D$4</definedName>
    <definedName name="ly_profit">'Pivot tables and measures'!$E$4</definedName>
    <definedName name="ly_quantity">'Pivot tables and measures'!$C$4</definedName>
    <definedName name="ly_sales">'Pivot tables and measures'!$B$4</definedName>
    <definedName name="NativeTimeline_Date">#N/A</definedName>
    <definedName name="total_cost">'Pivot tables and measures'!$D$6</definedName>
    <definedName name="total_profit">'Pivot tables and measures'!$E$6</definedName>
    <definedName name="total_quantity">'Pivot tables and measures'!$C$6</definedName>
    <definedName name="total_sales">'Pivot tables and measures'!$B$6</definedName>
    <definedName name="YoY_cost">'Pivot tables and measures'!$F$14</definedName>
    <definedName name="YoY_profit">'Pivot tables and measures'!$F$15</definedName>
    <definedName name="YOY_quantity">'Pivot tables and measures'!$F$13</definedName>
    <definedName name="YoY_sales">'Pivot tables and measures'!$F$12</definedName>
  </definedNames>
  <calcPr calcId="191029"/>
  <pivotCaches>
    <pivotCache cacheId="0" r:id="rId4"/>
    <pivotCache cacheId="1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X7" i="2"/>
  <c r="U8" i="2"/>
  <c r="U7" i="2"/>
  <c r="G5" i="2"/>
  <c r="G6" i="2"/>
  <c r="U19" i="2"/>
  <c r="U20" i="2" l="1"/>
  <c r="W7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G4" i="2"/>
  <c r="D15" i="2"/>
  <c r="D14" i="2"/>
  <c r="D13" i="2"/>
  <c r="C13" i="2"/>
  <c r="C15" i="2"/>
  <c r="D12" i="2"/>
  <c r="C14" i="2"/>
  <c r="C12" i="2"/>
  <c r="R20" i="2" l="1"/>
  <c r="S20" i="2"/>
  <c r="R19" i="2"/>
  <c r="S19" i="2"/>
  <c r="H4" i="2"/>
  <c r="I4" i="2" s="1"/>
  <c r="E12" i="2"/>
  <c r="F12" i="2" s="1"/>
  <c r="E13" i="2"/>
  <c r="F13" i="2" s="1"/>
  <c r="E14" i="2"/>
  <c r="F14" i="2" s="1"/>
  <c r="E15" i="2"/>
  <c r="F15" i="2" s="1"/>
</calcChain>
</file>

<file path=xl/sharedStrings.xml><?xml version="1.0" encoding="utf-8"?>
<sst xmlns="http://schemas.openxmlformats.org/spreadsheetml/2006/main" count="1450" uniqueCount="376">
  <si>
    <t>OrderID</t>
  </si>
  <si>
    <t>Date</t>
  </si>
  <si>
    <t>Product</t>
  </si>
  <si>
    <t>Category</t>
  </si>
  <si>
    <t>Region</t>
  </si>
  <si>
    <t>Sales</t>
  </si>
  <si>
    <t>Quantity</t>
  </si>
  <si>
    <t>Cost</t>
  </si>
  <si>
    <t>ORD0001</t>
  </si>
  <si>
    <t>Printer</t>
  </si>
  <si>
    <t>Electronics</t>
  </si>
  <si>
    <t>East</t>
  </si>
  <si>
    <t>ORD0002</t>
  </si>
  <si>
    <t>Laptop</t>
  </si>
  <si>
    <t>ORD0003</t>
  </si>
  <si>
    <t>Mouse</t>
  </si>
  <si>
    <t>Accessories</t>
  </si>
  <si>
    <t>ORD0004</t>
  </si>
  <si>
    <t>Monitor</t>
  </si>
  <si>
    <t>West</t>
  </si>
  <si>
    <t>ORD0005</t>
  </si>
  <si>
    <t>South</t>
  </si>
  <si>
    <t>ORD0006</t>
  </si>
  <si>
    <t>Keyboard</t>
  </si>
  <si>
    <t>ORD0007</t>
  </si>
  <si>
    <t>Headphones</t>
  </si>
  <si>
    <t>North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</si>
  <si>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</si>
  <si>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</si>
  <si>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</si>
  <si>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</si>
  <si>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</si>
  <si>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</si>
  <si>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</si>
  <si>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</si>
  <si>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</si>
  <si>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</si>
  <si>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</si>
  <si>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</si>
  <si>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</si>
  <si>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</si>
  <si>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</si>
  <si>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</si>
  <si>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</si>
  <si>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</si>
  <si>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</si>
  <si>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</si>
  <si>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</si>
  <si>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</si>
  <si>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</si>
  <si>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</si>
  <si>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</si>
  <si>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</si>
  <si>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</si>
  <si>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</si>
  <si>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</si>
  <si>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</si>
  <si>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</si>
  <si>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</si>
  <si>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</si>
  <si>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</si>
  <si>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</si>
  <si>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</si>
  <si>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</si>
  <si>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</si>
  <si>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</si>
  <si>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</si>
  <si>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</si>
  <si>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</si>
  <si>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</si>
  <si>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</si>
  <si>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</si>
  <si>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</si>
  <si>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</si>
  <si>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</si>
  <si>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</si>
  <si>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</si>
  <si>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</si>
  <si>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</si>
  <si>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</si>
  <si>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</si>
  <si>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</si>
  <si>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</si>
  <si>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</si>
  <si>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</si>
  <si>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</si>
  <si>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</si>
  <si>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</si>
  <si>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</si>
  <si>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</si>
  <si>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</si>
  <si>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</si>
  <si>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</si>
  <si>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</si>
  <si>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</si>
  <si>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</si>
  <si>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</si>
  <si>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</si>
  <si>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</si>
  <si>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</si>
  <si>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</si>
  <si>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</si>
  <si>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</si>
  <si>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</si>
  <si>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</si>
  <si>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</si>
  <si>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</si>
  <si>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</si>
  <si>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</si>
  <si>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</si>
  <si>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</si>
  <si>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</si>
  <si>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</si>
  <si>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</si>
  <si>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</si>
  <si>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</si>
  <si>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</si>
  <si>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</si>
  <si>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</si>
  <si>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</si>
  <si>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</si>
  <si>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</si>
  <si>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</si>
  <si>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</si>
  <si>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</si>
  <si>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</si>
  <si>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</si>
  <si>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</si>
  <si>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</si>
  <si>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</si>
  <si>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</si>
  <si>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</si>
  <si>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</si>
  <si>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</si>
  <si>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</si>
  <si>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</si>
  <si>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</si>
  <si>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</si>
  <si>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</si>
  <si>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</si>
  <si>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</si>
  <si>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</si>
  <si>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</si>
  <si>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</si>
  <si>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</si>
  <si>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</si>
  <si>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</si>
  <si>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</si>
  <si>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</si>
  <si>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</si>
  <si>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</si>
  <si>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</si>
  <si>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</si>
  <si>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</si>
  <si>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</si>
  <si>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</si>
  <si>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</si>
  <si>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</si>
  <si>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</si>
  <si>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</si>
  <si>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</si>
  <si>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</si>
  <si>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</si>
  <si>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</si>
  <si>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</si>
  <si>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</si>
  <si>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</si>
  <si>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</si>
  <si>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</si>
  <si>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</si>
  <si>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</si>
  <si>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</si>
  <si>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</si>
  <si>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</si>
  <si>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</si>
  <si>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</si>
  <si>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</si>
  <si>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</si>
  <si>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</si>
  <si>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</si>
  <si>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</si>
  <si>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</si>
  <si>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</si>
  <si>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</si>
  <si>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</si>
  <si>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</si>
  <si>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</si>
  <si>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</si>
  <si>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</si>
  <si>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</si>
  <si>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</si>
  <si>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</si>
  <si>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</si>
  <si>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</si>
  <si>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</si>
  <si>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</si>
  <si>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</si>
  <si>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</si>
  <si>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</si>
  <si>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</si>
  <si>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</si>
  <si>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</si>
  <si>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</si>
  <si>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</si>
  <si>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</si>
  <si>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</si>
  <si>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</si>
  <si>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</si>
  <si>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</si>
  <si>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</si>
  <si>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</si>
  <si>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</si>
  <si>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</si>
  <si>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</si>
  <si>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</si>
  <si>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</si>
  <si>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</si>
  <si>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</si>
  <si>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</si>
  <si>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</si>
  <si>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</si>
  <si>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</si>
  <si>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</si>
  <si>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</si>
  <si>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</si>
  <si>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</si>
  <si>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</si>
  <si>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</si>
  <si>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</si>
  <si>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</si>
  <si>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</si>
  <si>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</si>
  <si>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</si>
  <si>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</si>
  <si>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</si>
  <si>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</si>
  <si>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</si>
  <si>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</si>
  <si>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</si>
  <si>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</si>
  <si>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</si>
  <si>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</si>
  <si>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</si>
  <si>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</si>
  <si>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</si>
  <si>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</si>
  <si>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</si>
  <si>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</si>
  <si>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</si>
  <si>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</si>
  <si>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</si>
  <si>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</si>
  <si>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</si>
  <si>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</si>
  <si>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</si>
  <si>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</si>
  <si>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</si>
  <si>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</si>
  <si>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</si>
  <si>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</si>
  <si>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</si>
  <si>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</si>
  <si>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</si>
  <si>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</si>
  <si>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</si>
  <si>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</si>
  <si>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</si>
  <si>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</si>
  <si>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</si>
  <si>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</si>
  <si>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</si>
  <si>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</si>
  <si>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</si>
  <si>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</si>
  <si>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</si>
  <si>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</si>
  <si>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</si>
  <si>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</si>
  <si>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</si>
  <si>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</si>
  <si>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</si>
  <si>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</si>
  <si>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</si>
  <si>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</si>
  <si>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</si>
  <si>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</si>
  <si>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</si>
  <si>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</si>
  <si>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</si>
  <si>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</si>
  <si>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</si>
  <si>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</si>
  <si>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</si>
  <si>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</si>
  <si>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</si>
  <si>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</si>
  <si>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</si>
  <si>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</si>
  <si>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</si>
  <si>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</si>
  <si>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</si>
  <si>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</si>
  <si>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</si>
  <si>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</si>
  <si>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</si>
  <si>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</si>
  <si>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</si>
  <si>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</si>
  <si>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</si>
  <si>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</si>
  <si>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</si>
  <si>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</si>
  <si>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</si>
  <si>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</si>
  <si>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</si>
  <si>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</si>
  <si>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</si>
  <si>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</si>
  <si>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</si>
  <si>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</si>
  <si>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Month</t>
  </si>
  <si>
    <t>Sum of Sales</t>
  </si>
  <si>
    <t>Sum of Quantity</t>
  </si>
  <si>
    <t>Sum of Cost</t>
  </si>
  <si>
    <t>Year</t>
  </si>
  <si>
    <t>Row Labels</t>
  </si>
  <si>
    <t>2023</t>
  </si>
  <si>
    <t>2024</t>
  </si>
  <si>
    <t>Grand Total</t>
  </si>
  <si>
    <t>Sum of Profit</t>
  </si>
  <si>
    <t>Profit</t>
  </si>
  <si>
    <t>Current Year</t>
  </si>
  <si>
    <t xml:space="preserve">Previous Year </t>
  </si>
  <si>
    <t>Year-on-Year</t>
  </si>
  <si>
    <t>KPIs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</si>
  <si>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</si>
  <si>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</si>
  <si>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</si>
  <si>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</si>
  <si>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</si>
  <si>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</si>
  <si>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</si>
  <si>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</si>
  <si>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</si>
  <si>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</si>
  <si>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</si>
  <si>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</si>
  <si>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</si>
  <si>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 Trend</t>
  </si>
  <si>
    <t>Qtr1</t>
  </si>
  <si>
    <t>Qtr2</t>
  </si>
  <si>
    <t>Qtr3</t>
  </si>
  <si>
    <t>Qtr4</t>
  </si>
  <si>
    <t>Return On sales</t>
  </si>
  <si>
    <t>YoY</t>
  </si>
  <si>
    <t>(blank)</t>
  </si>
  <si>
    <t>Count of OrderID</t>
  </si>
  <si>
    <t>Average Order Value</t>
  </si>
  <si>
    <t>profit margin</t>
  </si>
  <si>
    <t>current year</t>
  </si>
  <si>
    <t>previous year</t>
  </si>
  <si>
    <t>profit</t>
  </si>
  <si>
    <t xml:space="preserve">sales </t>
  </si>
  <si>
    <t>Regional Sales vs cost</t>
  </si>
  <si>
    <t>Profit Trend by Product</t>
  </si>
  <si>
    <t>Sales Trend by Product</t>
  </si>
  <si>
    <t>Regional Sales by product</t>
  </si>
  <si>
    <t>(All)</t>
  </si>
  <si>
    <t>Sales vs Cost</t>
  </si>
  <si>
    <t>Profit by product</t>
  </si>
  <si>
    <t>sales by product</t>
  </si>
  <si>
    <t>Total Sales</t>
  </si>
  <si>
    <t>Total Cost</t>
  </si>
  <si>
    <t>Regional Profit</t>
  </si>
  <si>
    <t>Regions Sales</t>
  </si>
  <si>
    <t>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</si>
</sst>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&gt;=1000000]&quot;$&quot;0.0,&quot;M&quot;;[&gt;=1000]&quot;$&quot;0.0,&quot;K&quot;;0"/>
    <numFmt numFmtId="165" formatCode="[&gt;=1000000]&quot;$&quot;0,&quot;M&quot;;[&gt;=1000]&quot;$&quot;0,&quot;K&quot;;0"/>
    <numFmt numFmtId="166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F4F6F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394E"/>
        <bgColor indexed="64"/>
      </patternFill>
    </fill>
    <fill>
      <patternFill patternType="solid">
        <fgColor rgb="FFFFE4A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0" fillId="2" borderId="0" xfId="0" applyFill="1"/>
    <xf numFmtId="9" fontId="0" fillId="0" borderId="0" xfId="0" applyNumberFormat="1"/>
    <xf numFmtId="0" fontId="5" fillId="2" borderId="0" xfId="0" applyFont="1" applyFill="1"/>
    <xf numFmtId="165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0" fillId="3" borderId="0" xfId="0" applyFill="1" applyAlignment="1">
      <alignment horizontal="left"/>
    </xf>
    <xf numFmtId="0" fontId="0" fillId="4" borderId="0" xfId="0" applyFill="1"/>
    <xf numFmtId="166" fontId="0" fillId="0" borderId="0" xfId="0" applyNumberFormat="1"/>
  </cellXfs>
  <cellStyles count="2">
    <cellStyle name="Normal" xfId="0" builtinId="0"/>
    <cellStyle name="Percent" xfId="1" builtinId="5"/>
  </cellStyles>
  <dxfs count="43"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fill>
        <patternFill patternType="solid">
          <bgColor rgb="FFFFE4A8"/>
        </patternFill>
      </fill>
    </dxf>
    <dxf>
      <fill>
        <patternFill patternType="solid">
          <bgColor rgb="FFFFE4A8"/>
        </patternFill>
      </fill>
    </dxf>
    <dxf>
      <fill>
        <patternFill patternType="solid">
          <bgColor rgb="FFFFE4A8"/>
        </patternFill>
      </fill>
    </dxf>
    <dxf>
      <fill>
        <patternFill patternType="solid">
          <bgColor rgb="FFFFE4A8"/>
        </patternFill>
      </fill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numFmt numFmtId="165" formatCode="[&gt;=1000000]&quot;$&quot;0,&quot;M&quot;;[&gt;=1000]&quot;$&quot;0,&quot;K&quot;;0"/>
    </dxf>
    <dxf>
      <numFmt numFmtId="164" formatCode="[&gt;=1000000]&quot;$&quot;0.0,&quot;M&quot;;[&gt;=1000]&quot;$&quot;0.0,&quot;K&quot;;0"/>
    </dxf>
    <dxf>
      <numFmt numFmtId="165" formatCode="[&gt;=1000000]&quot;$&quot;0,&quot;M&quot;;[&gt;=1000]&quot;$&quot;0,&quot;K&quot;;0"/>
    </dxf>
    <dxf>
      <numFmt numFmtId="164" formatCode="[&gt;=1000000]&quot;$&quot;0.0,&quot;M&quot;;[&gt;=1000]&quot;$&quot;0.0,&quot;K&quot;;0"/>
    </dxf>
    <dxf>
      <numFmt numFmtId="165" formatCode="[&gt;=1000000]&quot;$&quot;0,&quot;M&quot;;[&gt;=1000]&quot;$&quot;0,&quot;K&quot;;0"/>
    </dxf>
    <dxf>
      <numFmt numFmtId="164" formatCode="[&gt;=1000000]&quot;$&quot;0.0,&quot;M&quot;;[&gt;=1000]&quot;$&quot;0.0,&quot;K&quot;;0"/>
    </dxf>
    <dxf>
      <numFmt numFmtId="164" formatCode="[&gt;=1000000]&quot;$&quot;0.0,&quot;M&quot;;[&gt;=1000]&quot;$&quot;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yyyy/mm/dd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yyyy/mm/dd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yyyy/mm/dd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/>
        <sz val="11"/>
        <color theme="1"/>
      </font>
    </dxf>
    <dxf>
      <font>
        <b val="0"/>
        <i val="0"/>
        <sz val="11"/>
        <color rgb="FFF4F6F9"/>
        <name val="Aptos Narrow"/>
        <family val="2"/>
        <scheme val="minor"/>
      </font>
      <fill>
        <patternFill patternType="solid">
          <fgColor theme="0"/>
          <bgColor rgb="FF34394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34394E"/>
        </patternFill>
      </fill>
    </dxf>
    <dxf>
      <font>
        <b val="0"/>
        <i val="0"/>
        <sz val="10"/>
        <color rgb="FFF4F6F9"/>
        <name val="Aptos Narrow"/>
        <family val="2"/>
        <scheme val="minor"/>
      </font>
      <fill>
        <patternFill>
          <bgColor rgb="FF34394E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 Style 1" pivot="0" table="0" count="0" xr9:uid="{E3B7E0E7-0A8E-4951-8045-E46CC0CB41CD}"/>
    <tableStyle name="Slicer Style 2" pivot="0" table="0" count="5" xr9:uid="{F79D04A2-6D7D-4424-B23A-B5A75922D081}">
      <tableStyleElement type="wholeTable" dxfId="42"/>
      <tableStyleElement type="headerRow" dxfId="41"/>
    </tableStyle>
    <tableStyle name="Timeline Style 1" pivot="0" table="0" count="9" xr9:uid="{3FB5A6EE-9B48-463D-8E94-EF5804D58BD3}">
      <tableStyleElement type="wholeTable" dxfId="40"/>
      <tableStyleElement type="headerRow" dxfId="39"/>
    </tableStyle>
  </tableStyles>
  <colors>
    <mruColors>
      <color rgb="FFF4F6F9"/>
      <color rgb="FF34394E"/>
      <color rgb="FFCAC7DB"/>
      <color rgb="FFAAE6FF"/>
      <color rgb="FF92B5F7"/>
      <color rgb="FFFF7DB9"/>
      <color rgb="FFFBE5A8"/>
      <color rgb="FF446074"/>
      <color rgb="FF84AADB"/>
      <color rgb="FFFEE1A7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rgb="FF292B3A"/>
            </patternFill>
          </fill>
        </dxf>
        <dxf>
          <fill>
            <patternFill>
              <bgColor rgb="FFFBE5A8"/>
            </patternFill>
          </fill>
        </dxf>
        <dxf>
          <fill>
            <patternFill>
              <bgColor rgb="FFDDE0E4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>
              <bgColor rgb="FF34394E"/>
            </patternFill>
          </fill>
        </dxf>
        <dxf>
          <fill>
            <patternFill patternType="solid">
              <fgColor rgb="FF84AADB"/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auto="1"/>
              <bgColor rgb="FF92B5F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2"/>
            <color rgb="FFF4F6F9"/>
            <name val="Aptos Narrow"/>
            <family val="2"/>
            <scheme val="minor"/>
          </font>
        </dxf>
        <dxf>
          <font>
            <b val="0"/>
            <i val="0"/>
            <sz val="12"/>
            <color rgb="FFF4F6F9"/>
            <name val="Aptos Narrow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measures!PivotTable9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5400" cap="rnd">
            <a:solidFill>
              <a:srgbClr val="FD7FB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rgbClr val="9ABAF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 cap="rnd">
            <a:solidFill>
              <a:srgbClr val="FD7FB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solidFill>
              <a:srgbClr val="9ABAF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rgbClr val="CAC7DB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1.6392753537386773E-2"/>
          <c:w val="1"/>
          <c:h val="0.9836072464626132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and measures'!$L$3:$L$4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rgbClr val="CAC7DB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measures'!$K$5:$K$9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 and measures'!$L$5:$L$9</c:f>
              <c:numCache>
                <c:formatCode>[&gt;=1000000]"$"0.0,"M";[&gt;=1000]"$"0.0,"K";0</c:formatCode>
                <c:ptCount val="4"/>
                <c:pt idx="0">
                  <c:v>109932.46999999999</c:v>
                </c:pt>
                <c:pt idx="1">
                  <c:v>70357.790000000008</c:v>
                </c:pt>
                <c:pt idx="2">
                  <c:v>82404.929999999993</c:v>
                </c:pt>
                <c:pt idx="3">
                  <c:v>102948.79999999997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67-4595-AD70-3F672F692C7E}"/>
            </c:ext>
          </c:extLst>
        </c:ser>
        <c:ser>
          <c:idx val="1"/>
          <c:order val="1"/>
          <c:tx>
            <c:strRef>
              <c:f>'Pivot tables and measures'!$M$3:$M$4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rgbClr val="AAE6FF"/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measures'!$K$5:$K$9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 and measures'!$M$5:$M$9</c:f>
              <c:numCache>
                <c:formatCode>[&gt;=1000000]"$"0.0,"M";[&gt;=1000]"$"0.0,"K";0</c:formatCode>
                <c:ptCount val="4"/>
                <c:pt idx="0">
                  <c:v>110028.64000000001</c:v>
                </c:pt>
                <c:pt idx="1">
                  <c:v>103062.17000000001</c:v>
                </c:pt>
                <c:pt idx="2">
                  <c:v>141176.32000000001</c:v>
                </c:pt>
                <c:pt idx="3">
                  <c:v>121337.56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67-4595-AD70-3F672F692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584399"/>
        <c:axId val="863586799"/>
      </c:lineChart>
      <c:catAx>
        <c:axId val="863584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3586799"/>
        <c:crosses val="autoZero"/>
        <c:auto val="1"/>
        <c:lblAlgn val="ctr"/>
        <c:lblOffset val="100"/>
        <c:noMultiLvlLbl val="0"/>
      </c:catAx>
      <c:valAx>
        <c:axId val="863586799"/>
        <c:scaling>
          <c:orientation val="minMax"/>
        </c:scaling>
        <c:delete val="1"/>
        <c:axPos val="l"/>
        <c:numFmt formatCode="[&gt;=1000000]&quot;$&quot;0.0,&quot;M&quot;;[&gt;=1000]&quot;$&quot;0.0,&quot;K&quot;;0" sourceLinked="1"/>
        <c:majorTickMark val="none"/>
        <c:minorTickMark val="none"/>
        <c:tickLblPos val="nextTo"/>
        <c:crossAx val="86358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measures!PivotTable10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rgbClr val="CAC7DB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442410496028727E-3"/>
          <c:y val="6.6780440750908956E-2"/>
          <c:w val="0.94406252254129552"/>
          <c:h val="0.9325914842376542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and measures'!$L$14:$L$15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rgbClr val="CAC7DB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measures'!$K$16:$K$20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 and measures'!$L$16:$L$20</c:f>
              <c:numCache>
                <c:formatCode>[&gt;=1000000]"$"0.0,"M";[&gt;=1000]"$"0.0,"K";0</c:formatCode>
                <c:ptCount val="4"/>
                <c:pt idx="0">
                  <c:v>202</c:v>
                </c:pt>
                <c:pt idx="1">
                  <c:v>174</c:v>
                </c:pt>
                <c:pt idx="2">
                  <c:v>146</c:v>
                </c:pt>
                <c:pt idx="3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4E-435A-B006-6BF6185CD64C}"/>
            </c:ext>
          </c:extLst>
        </c:ser>
        <c:ser>
          <c:idx val="1"/>
          <c:order val="1"/>
          <c:tx>
            <c:strRef>
              <c:f>'Pivot tables and measures'!$M$14:$M$15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rgbClr val="AAE6FF"/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measures'!$K$16:$K$20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 and measures'!$M$16:$M$20</c:f>
              <c:numCache>
                <c:formatCode>[&gt;=1000000]"$"0.0,"M";[&gt;=1000]"$"0.0,"K";0</c:formatCode>
                <c:ptCount val="4"/>
                <c:pt idx="0">
                  <c:v>216</c:v>
                </c:pt>
                <c:pt idx="1">
                  <c:v>189</c:v>
                </c:pt>
                <c:pt idx="2">
                  <c:v>252</c:v>
                </c:pt>
                <c:pt idx="3">
                  <c:v>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4E-435A-B006-6BF6185CD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918655"/>
        <c:axId val="630915775"/>
      </c:lineChart>
      <c:catAx>
        <c:axId val="630918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0915775"/>
        <c:crosses val="autoZero"/>
        <c:auto val="1"/>
        <c:lblAlgn val="ctr"/>
        <c:lblOffset val="100"/>
        <c:noMultiLvlLbl val="0"/>
      </c:catAx>
      <c:valAx>
        <c:axId val="630915775"/>
        <c:scaling>
          <c:orientation val="minMax"/>
        </c:scaling>
        <c:delete val="1"/>
        <c:axPos val="l"/>
        <c:numFmt formatCode="[&gt;=1000000]&quot;$&quot;0.0,&quot;M&quot;;[&gt;=1000]&quot;$&quot;0.0,&quot;K&quot;;0" sourceLinked="1"/>
        <c:majorTickMark val="none"/>
        <c:minorTickMark val="none"/>
        <c:tickLblPos val="nextTo"/>
        <c:crossAx val="63091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measures!PivotTable12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5400" cap="rnd">
            <a:solidFill>
              <a:srgbClr val="AEE3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 cap="rnd">
            <a:solidFill>
              <a:srgbClr val="AEE3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rgbClr val="CAC7DB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and measures'!$L$36:$L$37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rgbClr val="CAC7DB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measures'!$K$38:$K$42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 and measures'!$L$38:$L$42</c:f>
              <c:numCache>
                <c:formatCode>[&gt;=1000000]"$"0.0,"M";[&gt;=1000]"$"0.0,"K";0</c:formatCode>
                <c:ptCount val="4"/>
                <c:pt idx="0">
                  <c:v>95074.119999999981</c:v>
                </c:pt>
                <c:pt idx="1">
                  <c:v>58676.240000000013</c:v>
                </c:pt>
                <c:pt idx="2">
                  <c:v>66948.959999999992</c:v>
                </c:pt>
                <c:pt idx="3">
                  <c:v>87402.919999999969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27-47E7-8B37-0C3AA45B07F7}"/>
            </c:ext>
          </c:extLst>
        </c:ser>
        <c:ser>
          <c:idx val="1"/>
          <c:order val="1"/>
          <c:tx>
            <c:strRef>
              <c:f>'Pivot tables and measures'!$M$36:$M$37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rgbClr val="AAE6FF"/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measures'!$K$38:$K$42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 and measures'!$M$38:$M$42</c:f>
              <c:numCache>
                <c:formatCode>[&gt;=1000000]"$"0.0,"M";[&gt;=1000]"$"0.0,"K";0</c:formatCode>
                <c:ptCount val="4"/>
                <c:pt idx="0">
                  <c:v>95048.23000000001</c:v>
                </c:pt>
                <c:pt idx="1">
                  <c:v>90363.890000000014</c:v>
                </c:pt>
                <c:pt idx="2">
                  <c:v>121857.42000000001</c:v>
                </c:pt>
                <c:pt idx="3">
                  <c:v>104357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27-47E7-8B37-0C3AA45B0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556207"/>
        <c:axId val="858556687"/>
      </c:lineChart>
      <c:catAx>
        <c:axId val="858556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8556687"/>
        <c:crosses val="autoZero"/>
        <c:auto val="1"/>
        <c:lblAlgn val="ctr"/>
        <c:lblOffset val="100"/>
        <c:noMultiLvlLbl val="0"/>
      </c:catAx>
      <c:valAx>
        <c:axId val="858556687"/>
        <c:scaling>
          <c:orientation val="minMax"/>
        </c:scaling>
        <c:delete val="1"/>
        <c:axPos val="l"/>
        <c:numFmt formatCode="[&gt;=1000000]&quot;$&quot;0.0,&quot;M&quot;;[&gt;=1000]&quot;$&quot;0.0,&quot;K&quot;;0" sourceLinked="1"/>
        <c:majorTickMark val="none"/>
        <c:minorTickMark val="none"/>
        <c:tickLblPos val="nextTo"/>
        <c:crossAx val="85855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measures!PivotTable8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31750" cap="rnd">
            <a:solidFill>
              <a:srgbClr val="FFE4A8">
                <a:alpha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1750" cap="rnd">
            <a:solidFill>
              <a:srgbClr val="9ABAF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1750" cap="rnd">
            <a:solidFill>
              <a:srgbClr val="FFE4A8">
                <a:alpha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1750" cap="rnd">
            <a:solidFill>
              <a:srgbClr val="9ABAF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rgbClr val="CAC7DB">
                <a:alpha val="3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5400" cap="rnd">
            <a:solidFill>
              <a:srgbClr val="CAC7DB">
                <a:alpha val="30000"/>
              </a:srgb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3186415827926325E-2"/>
          <c:y val="0.12463789727841454"/>
          <c:w val="0.93831775759767611"/>
          <c:h val="0.7581492733686467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and measures'!$G$22:$G$23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rgbClr val="CAC7DB">
                  <a:alpha val="3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measures'!$F$24:$F$36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and measures'!$G$24:$G$36</c:f>
              <c:numCache>
                <c:formatCode>[&gt;=1000000]"$"0,"M";[&gt;=1000]"$"0,"K";0</c:formatCode>
                <c:ptCount val="12"/>
                <c:pt idx="0">
                  <c:v>25094.430000000004</c:v>
                </c:pt>
                <c:pt idx="1">
                  <c:v>23634.37</c:v>
                </c:pt>
                <c:pt idx="2">
                  <c:v>46345.32</c:v>
                </c:pt>
                <c:pt idx="3">
                  <c:v>30377.570000000003</c:v>
                </c:pt>
                <c:pt idx="4">
                  <c:v>5327.9700000000012</c:v>
                </c:pt>
                <c:pt idx="5">
                  <c:v>22970.7</c:v>
                </c:pt>
                <c:pt idx="6">
                  <c:v>5543.59</c:v>
                </c:pt>
                <c:pt idx="7">
                  <c:v>37043.689999999995</c:v>
                </c:pt>
                <c:pt idx="8">
                  <c:v>24361.68</c:v>
                </c:pt>
                <c:pt idx="9">
                  <c:v>34445.440000000002</c:v>
                </c:pt>
                <c:pt idx="10">
                  <c:v>35733.599999999999</c:v>
                </c:pt>
                <c:pt idx="11">
                  <c:v>17223.880000000005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E7-4B53-98F5-3D5A465B3780}"/>
            </c:ext>
          </c:extLst>
        </c:ser>
        <c:ser>
          <c:idx val="1"/>
          <c:order val="1"/>
          <c:tx>
            <c:strRef>
              <c:f>'Pivot tables and measures'!$H$22:$H$23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rgbClr val="AAE6FF"/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measures'!$F$24:$F$36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and measures'!$H$24:$H$36</c:f>
              <c:numCache>
                <c:formatCode>[&gt;=1000000]"$"0,"M";[&gt;=1000]"$"0,"K";0</c:formatCode>
                <c:ptCount val="12"/>
                <c:pt idx="0">
                  <c:v>30659.11</c:v>
                </c:pt>
                <c:pt idx="1">
                  <c:v>34198.97</c:v>
                </c:pt>
                <c:pt idx="2">
                  <c:v>30190.150000000005</c:v>
                </c:pt>
                <c:pt idx="3">
                  <c:v>51800.82</c:v>
                </c:pt>
                <c:pt idx="4">
                  <c:v>9118.5499999999993</c:v>
                </c:pt>
                <c:pt idx="5">
                  <c:v>29444.519999999997</c:v>
                </c:pt>
                <c:pt idx="6">
                  <c:v>45236.359999999986</c:v>
                </c:pt>
                <c:pt idx="7">
                  <c:v>24217.699999999997</c:v>
                </c:pt>
                <c:pt idx="8">
                  <c:v>52403.359999999993</c:v>
                </c:pt>
                <c:pt idx="9">
                  <c:v>44095.850000000006</c:v>
                </c:pt>
                <c:pt idx="10">
                  <c:v>40887.47</c:v>
                </c:pt>
                <c:pt idx="11">
                  <c:v>19373.68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E7-4B53-98F5-3D5A465B3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744063"/>
        <c:axId val="531745023"/>
      </c:lineChart>
      <c:catAx>
        <c:axId val="5317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45023"/>
        <c:crosses val="autoZero"/>
        <c:auto val="1"/>
        <c:lblAlgn val="ctr"/>
        <c:lblOffset val="100"/>
        <c:noMultiLvlLbl val="0"/>
      </c:catAx>
      <c:valAx>
        <c:axId val="53174502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606579">
                  <a:alpha val="60000"/>
                </a:srgbClr>
              </a:solidFill>
              <a:round/>
            </a:ln>
            <a:effectLst/>
          </c:spPr>
        </c:majorGridlines>
        <c:numFmt formatCode="[&gt;=1000000]&quot;$&quot;0,&quot;M&quot;;[&gt;=1000]&quot;$&quot;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3886313654429245"/>
          <c:y val="1.160441116032696E-2"/>
          <c:w val="0.15198068573045445"/>
          <c:h val="8.8958802153243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measures!PivotTable2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ABAFB">
              <a:alpha val="61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rgbClr val="F4F6F9">
                <a:alpha val="60000"/>
              </a:srgbClr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691036077455657E-2"/>
          <c:y val="6.0353064288639152E-2"/>
          <c:w val="0.76049846944639754"/>
          <c:h val="0.826441032696078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 and measures'!$V$33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9ABAFB">
                <a:alpha val="61000"/>
              </a:srgbClr>
            </a:solidFill>
            <a:ln>
              <a:noFill/>
            </a:ln>
            <a:effectLst/>
          </c:spPr>
          <c:invertIfNegative val="0"/>
          <c:cat>
            <c:strRef>
              <c:f>'Pivot tables and measures'!$U$34:$U$46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and measures'!$V$34:$V$46</c:f>
              <c:numCache>
                <c:formatCode>[&gt;=1000000]"$"0,"M";[&gt;=1000]"$"0,"K";0</c:formatCode>
                <c:ptCount val="12"/>
                <c:pt idx="0">
                  <c:v>65657.98</c:v>
                </c:pt>
                <c:pt idx="1">
                  <c:v>66095.56</c:v>
                </c:pt>
                <c:pt idx="2">
                  <c:v>88207.569999999992</c:v>
                </c:pt>
                <c:pt idx="3">
                  <c:v>94984.77</c:v>
                </c:pt>
                <c:pt idx="4">
                  <c:v>19509.37</c:v>
                </c:pt>
                <c:pt idx="5">
                  <c:v>58925.820000000007</c:v>
                </c:pt>
                <c:pt idx="6">
                  <c:v>61201.829999999994</c:v>
                </c:pt>
                <c:pt idx="7">
                  <c:v>73110.040000000008</c:v>
                </c:pt>
                <c:pt idx="8">
                  <c:v>89269.380000000019</c:v>
                </c:pt>
                <c:pt idx="9">
                  <c:v>91217.66</c:v>
                </c:pt>
                <c:pt idx="10">
                  <c:v>89961.420000000013</c:v>
                </c:pt>
                <c:pt idx="11">
                  <c:v>43107.280000000006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3-4492-A39F-AFAB70070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2842591"/>
        <c:axId val="632841631"/>
      </c:barChart>
      <c:lineChart>
        <c:grouping val="standard"/>
        <c:varyColors val="0"/>
        <c:ser>
          <c:idx val="1"/>
          <c:order val="1"/>
          <c:tx>
            <c:strRef>
              <c:f>'Pivot tables and measures'!$W$33</c:f>
              <c:strCache>
                <c:ptCount val="1"/>
                <c:pt idx="0">
                  <c:v>Total Cost</c:v>
                </c:pt>
              </c:strCache>
            </c:strRef>
          </c:tx>
          <c:spPr>
            <a:ln w="22225" cap="rnd">
              <a:solidFill>
                <a:srgbClr val="F4F6F9">
                  <a:alpha val="6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'Pivot tables and measures'!$U$34:$U$46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 and measures'!$W$34:$W$46</c:f>
              <c:numCache>
                <c:formatCode>[&gt;=1000000]"$"0,"M";[&gt;=1000]"$"0,"K";0</c:formatCode>
                <c:ptCount val="12"/>
                <c:pt idx="0">
                  <c:v>9904.44</c:v>
                </c:pt>
                <c:pt idx="1">
                  <c:v>8262.2200000000012</c:v>
                </c:pt>
                <c:pt idx="2">
                  <c:v>11672.099999999999</c:v>
                </c:pt>
                <c:pt idx="3">
                  <c:v>12806.380000000003</c:v>
                </c:pt>
                <c:pt idx="4">
                  <c:v>5062.8499999999995</c:v>
                </c:pt>
                <c:pt idx="5">
                  <c:v>6510.6</c:v>
                </c:pt>
                <c:pt idx="6">
                  <c:v>10421.879999999999</c:v>
                </c:pt>
                <c:pt idx="7">
                  <c:v>11848.650000000001</c:v>
                </c:pt>
                <c:pt idx="8">
                  <c:v>12504.340000000002</c:v>
                </c:pt>
                <c:pt idx="9">
                  <c:v>12676.37</c:v>
                </c:pt>
                <c:pt idx="10">
                  <c:v>13340.350000000002</c:v>
                </c:pt>
                <c:pt idx="11">
                  <c:v>6509.7199999999993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C3-4492-A39F-AFAB70070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842591"/>
        <c:axId val="632841631"/>
      </c:lineChart>
      <c:catAx>
        <c:axId val="6328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41631"/>
        <c:crosses val="autoZero"/>
        <c:auto val="1"/>
        <c:lblAlgn val="ctr"/>
        <c:lblOffset val="100"/>
        <c:noMultiLvlLbl val="0"/>
      </c:catAx>
      <c:valAx>
        <c:axId val="63284163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606579">
                  <a:alpha val="60000"/>
                </a:srgbClr>
              </a:solidFill>
              <a:round/>
            </a:ln>
            <a:effectLst/>
          </c:spPr>
        </c:majorGridlines>
        <c:numFmt formatCode="[&gt;=1000000]&quot;$&quot;0,&quot;M&quot;;[&gt;=1000]&quot;$&quot;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42591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997014739558021"/>
          <c:y val="0.39587942573843599"/>
          <c:w val="0.1098277505500914"/>
          <c:h val="0.320692864760738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measures!PivotTable5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AC7DB">
              <a:alpha val="2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84AADB"/>
          </a:solidFill>
          <a:ln w="95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70293615864475"/>
          <c:y val="4.2197741692521315E-2"/>
          <c:w val="0.72936138045526111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 and measures'!$G$44:$G$45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AC7DB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'Pivot tables and measures'!$F$46:$F$52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'Pivot tables and measures'!$G$46:$G$52</c:f>
              <c:numCache>
                <c:formatCode>[&gt;=1000000]"$"0,"M";[&gt;=1000]"$"0,"K";0</c:formatCode>
                <c:ptCount val="6"/>
                <c:pt idx="0">
                  <c:v>71669.550000000017</c:v>
                </c:pt>
                <c:pt idx="1">
                  <c:v>74244.91</c:v>
                </c:pt>
                <c:pt idx="2">
                  <c:v>52214.449999999983</c:v>
                </c:pt>
                <c:pt idx="3">
                  <c:v>31200.180000000004</c:v>
                </c:pt>
                <c:pt idx="4">
                  <c:v>35435.549999999996</c:v>
                </c:pt>
                <c:pt idx="5">
                  <c:v>43337.599999999999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4-4126-88B2-90A2F865DB98}"/>
            </c:ext>
          </c:extLst>
        </c:ser>
        <c:ser>
          <c:idx val="1"/>
          <c:order val="1"/>
          <c:tx>
            <c:strRef>
              <c:f>'Pivot tables and measures'!$H$44:$H$45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84AADB"/>
            </a:solidFill>
            <a:ln w="9525">
              <a:noFill/>
            </a:ln>
            <a:effectLst/>
          </c:spPr>
          <c:invertIfNegative val="0"/>
          <c:cat>
            <c:strRef>
              <c:f>'Pivot tables and measures'!$F$46:$F$52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'Pivot tables and measures'!$H$46:$H$52</c:f>
              <c:numCache>
                <c:formatCode>[&gt;=1000000]"$"0,"M";[&gt;=1000]"$"0,"K";0</c:formatCode>
                <c:ptCount val="6"/>
                <c:pt idx="0">
                  <c:v>70530.87000000001</c:v>
                </c:pt>
                <c:pt idx="1">
                  <c:v>48205.110000000015</c:v>
                </c:pt>
                <c:pt idx="2">
                  <c:v>55692.630000000026</c:v>
                </c:pt>
                <c:pt idx="3">
                  <c:v>95369.180000000008</c:v>
                </c:pt>
                <c:pt idx="4">
                  <c:v>91983.770000000033</c:v>
                </c:pt>
                <c:pt idx="5">
                  <c:v>49844.979999999996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4-4126-88B2-90A2F865D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285247983"/>
        <c:axId val="285243663"/>
      </c:barChart>
      <c:catAx>
        <c:axId val="28524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43663"/>
        <c:crosses val="autoZero"/>
        <c:auto val="1"/>
        <c:lblAlgn val="ctr"/>
        <c:lblOffset val="100"/>
        <c:noMultiLvlLbl val="0"/>
      </c:catAx>
      <c:valAx>
        <c:axId val="2852436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&gt;=1000000]&quot;$&quot;0,&quot;M&quot;;[&gt;=1000]&quot;$&quot;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4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251934393911636"/>
          <c:y val="8.6742393028093681E-2"/>
          <c:w val="9.6137209792019646E-2"/>
          <c:h val="0.49659134425539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F4F6F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4F6F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measures!PivotTable6</c:name>
    <c:fmtId val="34"/>
  </c:pivotSource>
  <c:chart>
    <c:title>
      <c:layout>
        <c:manualLayout>
          <c:xMode val="edge"/>
          <c:yMode val="edge"/>
          <c:x val="0.31060053675368576"/>
          <c:y val="0.43936765686769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4F6F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84AADB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F4F6F9">
              <a:alpha val="94000"/>
            </a:srgbClr>
          </a:solidFill>
          <a:ln w="19050">
            <a:noFill/>
          </a:ln>
          <a:effectLst/>
        </c:spPr>
        <c:dLbl>
          <c:idx val="0"/>
          <c:layout>
            <c:manualLayout>
              <c:x val="0.17365615885208519"/>
              <c:y val="-6.66666316710594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92B5F7"/>
          </a:solidFill>
          <a:ln w="19050">
            <a:noFill/>
          </a:ln>
          <a:effectLst/>
        </c:spPr>
        <c:dLbl>
          <c:idx val="0"/>
          <c:layout>
            <c:manualLayout>
              <c:x val="0.13583074831828784"/>
              <c:y val="0.250982281392036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8266778704298461"/>
                  <c:h val="0.10747710893590082"/>
                </c:manualLayout>
              </c15:layout>
            </c:ext>
          </c:extLst>
        </c:dLbl>
      </c:pivotFmt>
      <c:pivotFmt>
        <c:idx val="9"/>
        <c:spPr>
          <a:solidFill>
            <a:srgbClr val="AAE6FF"/>
          </a:solidFill>
          <a:ln w="19050">
            <a:noFill/>
          </a:ln>
          <a:effectLst/>
        </c:spPr>
        <c:dLbl>
          <c:idx val="0"/>
          <c:layout>
            <c:manualLayout>
              <c:x val="-0.10336676122147932"/>
              <c:y val="7.33332948381655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446074"/>
          </a:solidFill>
          <a:ln w="19050">
            <a:noFill/>
          </a:ln>
          <a:effectLst/>
        </c:spPr>
        <c:dLbl>
          <c:idx val="0"/>
          <c:layout>
            <c:manualLayout>
              <c:x val="-0.12404011346577519"/>
              <c:y val="-0.133333263342118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447925779084234"/>
          <c:y val="6.7266631356099033E-2"/>
          <c:w val="0.53300069312703824"/>
          <c:h val="0.85940007380573558"/>
        </c:manualLayout>
      </c:layout>
      <c:doughnutChart>
        <c:varyColors val="1"/>
        <c:ser>
          <c:idx val="0"/>
          <c:order val="0"/>
          <c:tx>
            <c:strRef>
              <c:f>'Pivot tables and measures'!$G$57:$G$58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84AADB"/>
            </a:solidFill>
            <a:ln>
              <a:noFill/>
            </a:ln>
          </c:spPr>
          <c:dPt>
            <c:idx val="0"/>
            <c:bubble3D val="0"/>
            <c:spPr>
              <a:solidFill>
                <a:srgbClr val="F4F6F9">
                  <a:alpha val="94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A6-44A2-8913-34F20466AA31}"/>
              </c:ext>
            </c:extLst>
          </c:dPt>
          <c:dPt>
            <c:idx val="1"/>
            <c:bubble3D val="0"/>
            <c:spPr>
              <a:solidFill>
                <a:srgbClr val="92B5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A6-44A2-8913-34F20466AA31}"/>
              </c:ext>
            </c:extLst>
          </c:dPt>
          <c:dPt>
            <c:idx val="2"/>
            <c:bubble3D val="0"/>
            <c:spPr>
              <a:solidFill>
                <a:srgbClr val="AAE6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A6-44A2-8913-34F20466AA31}"/>
              </c:ext>
            </c:extLst>
          </c:dPt>
          <c:dPt>
            <c:idx val="3"/>
            <c:bubble3D val="0"/>
            <c:spPr>
              <a:solidFill>
                <a:srgbClr val="44607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A6-44A2-8913-34F20466AA31}"/>
              </c:ext>
            </c:extLst>
          </c:dPt>
          <c:dLbls>
            <c:dLbl>
              <c:idx val="0"/>
              <c:layout>
                <c:manualLayout>
                  <c:x val="0.17365615885208519"/>
                  <c:y val="-6.666663167105947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A6-44A2-8913-34F20466AA31}"/>
                </c:ext>
              </c:extLst>
            </c:dLbl>
            <c:dLbl>
              <c:idx val="1"/>
              <c:layout>
                <c:manualLayout>
                  <c:x val="0.13583074831828784"/>
                  <c:y val="0.2509822813920362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4F6F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8266778704298461"/>
                      <c:h val="0.107477108935900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AA6-44A2-8913-34F20466AA31}"/>
                </c:ext>
              </c:extLst>
            </c:dLbl>
            <c:dLbl>
              <c:idx val="2"/>
              <c:layout>
                <c:manualLayout>
                  <c:x val="-0.10336676122147932"/>
                  <c:y val="7.333329483816555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A6-44A2-8913-34F20466AA31}"/>
                </c:ext>
              </c:extLst>
            </c:dLbl>
            <c:dLbl>
              <c:idx val="3"/>
              <c:layout>
                <c:manualLayout>
                  <c:x val="-0.12404011346577519"/>
                  <c:y val="-0.1333332633421189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A6-44A2-8913-34F20466A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4F6F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 and measures'!$F$59:$F$63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 and measures'!$G$59:$G$63</c:f>
              <c:numCache>
                <c:formatCode>[&gt;=1000000]"$"0.0,"M";[&gt;=1000]"$"0.0,"K";0</c:formatCode>
                <c:ptCount val="4"/>
                <c:pt idx="0">
                  <c:v>53246.119999999995</c:v>
                </c:pt>
                <c:pt idx="1">
                  <c:v>73525.7</c:v>
                </c:pt>
                <c:pt idx="2">
                  <c:v>104862.72999999998</c:v>
                </c:pt>
                <c:pt idx="3">
                  <c:v>76467.69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A6-44A2-8913-34F20466A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7353874037155"/>
          <c:y val="4.0789683537955881E-2"/>
          <c:w val="0.23226461259628456"/>
          <c:h val="0.90078313956260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F4F6F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measures!PivotTable21</c:name>
    <c:fmtId val="32"/>
  </c:pivotSource>
  <c:chart>
    <c:title>
      <c:layout>
        <c:manualLayout>
          <c:xMode val="edge"/>
          <c:yMode val="edge"/>
          <c:x val="0.31947551530760226"/>
          <c:y val="0.45648112520675849"/>
        </c:manualLayout>
      </c:layout>
      <c:overlay val="0"/>
      <c:spPr>
        <a:solidFill>
          <a:srgbClr val="34394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4F6F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446074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4F6F9">
              <a:alpha val="94000"/>
            </a:srgbClr>
          </a:solidFill>
          <a:ln w="19050">
            <a:noFill/>
          </a:ln>
          <a:effectLst/>
        </c:spPr>
        <c:dLbl>
          <c:idx val="0"/>
          <c:layout>
            <c:manualLayout>
              <c:x val="0.15332998691259733"/>
              <c:y val="-0.119999937007907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336111601143011"/>
                  <c:h val="0.11990019952745432"/>
                </c:manualLayout>
              </c15:layout>
            </c:ext>
          </c:extLst>
        </c:dLbl>
      </c:pivotFmt>
      <c:pivotFmt>
        <c:idx val="8"/>
        <c:spPr>
          <a:solidFill>
            <a:srgbClr val="92B5F7"/>
          </a:solidFill>
          <a:ln w="19050">
            <a:noFill/>
          </a:ln>
          <a:effectLst/>
        </c:spPr>
        <c:dLbl>
          <c:idx val="0"/>
          <c:layout>
            <c:manualLayout>
              <c:x val="0.11905644570915286"/>
              <c:y val="0.146666589676330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AE6FF"/>
          </a:solidFill>
          <a:ln w="19050">
            <a:noFill/>
          </a:ln>
          <a:effectLst/>
        </c:spPr>
        <c:dLbl>
          <c:idx val="0"/>
          <c:layout>
            <c:manualLayout>
              <c:x val="-0.15513415653010826"/>
              <c:y val="9.33332843394832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46074"/>
          </a:solidFill>
          <a:ln w="19050">
            <a:noFill/>
          </a:ln>
          <a:effectLst/>
        </c:spPr>
        <c:dLbl>
          <c:idx val="0"/>
          <c:layout>
            <c:manualLayout>
              <c:x val="-0.14070321423995769"/>
              <c:y val="-6.66668941381133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418442925771671"/>
                  <c:h val="0.1465668521958780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061547154278234"/>
          <c:y val="0.10666661067369518"/>
          <c:w val="0.44703919885892168"/>
          <c:h val="0.82606675797020579"/>
        </c:manualLayout>
      </c:layout>
      <c:doughnutChart>
        <c:varyColors val="1"/>
        <c:ser>
          <c:idx val="0"/>
          <c:order val="0"/>
          <c:tx>
            <c:strRef>
              <c:f>'Pivot tables and measures'!$G$69:$G$70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46074"/>
            </a:solidFill>
            <a:ln>
              <a:noFill/>
            </a:ln>
          </c:spPr>
          <c:dPt>
            <c:idx val="0"/>
            <c:bubble3D val="0"/>
            <c:spPr>
              <a:solidFill>
                <a:srgbClr val="F4F6F9">
                  <a:alpha val="94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4A-4FEF-ABB9-82AE41E91B2A}"/>
              </c:ext>
            </c:extLst>
          </c:dPt>
          <c:dPt>
            <c:idx val="1"/>
            <c:bubble3D val="0"/>
            <c:spPr>
              <a:solidFill>
                <a:srgbClr val="92B5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4A-4FEF-ABB9-82AE41E91B2A}"/>
              </c:ext>
            </c:extLst>
          </c:dPt>
          <c:dPt>
            <c:idx val="2"/>
            <c:bubble3D val="0"/>
            <c:spPr>
              <a:solidFill>
                <a:srgbClr val="AAE6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4A-4FEF-ABB9-82AE41E91B2A}"/>
              </c:ext>
            </c:extLst>
          </c:dPt>
          <c:dPt>
            <c:idx val="3"/>
            <c:bubble3D val="0"/>
            <c:spPr>
              <a:solidFill>
                <a:srgbClr val="44607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4A-4FEF-ABB9-82AE41E91B2A}"/>
              </c:ext>
            </c:extLst>
          </c:dPt>
          <c:dLbls>
            <c:dLbl>
              <c:idx val="0"/>
              <c:layout>
                <c:manualLayout>
                  <c:x val="0.15332998691259733"/>
                  <c:y val="-0.119999937007907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4F6F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336111601143011"/>
                      <c:h val="0.119900199527454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44A-4FEF-ABB9-82AE41E91B2A}"/>
                </c:ext>
              </c:extLst>
            </c:dLbl>
            <c:dLbl>
              <c:idx val="1"/>
              <c:layout>
                <c:manualLayout>
                  <c:x val="0.11905644570915286"/>
                  <c:y val="0.1466665896763308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A-4FEF-ABB9-82AE41E91B2A}"/>
                </c:ext>
              </c:extLst>
            </c:dLbl>
            <c:dLbl>
              <c:idx val="2"/>
              <c:layout>
                <c:manualLayout>
                  <c:x val="-0.15513415653010826"/>
                  <c:y val="9.333328433948329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A-4FEF-ABB9-82AE41E91B2A}"/>
                </c:ext>
              </c:extLst>
            </c:dLbl>
            <c:dLbl>
              <c:idx val="3"/>
              <c:layout>
                <c:manualLayout>
                  <c:x val="-0.14070321423995769"/>
                  <c:y val="-6.66668941381133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4F6F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18442925771671"/>
                      <c:h val="0.146566852195878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44A-4FEF-ABB9-82AE41E91B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4F6F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and measures'!$F$71:$F$75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 and measures'!$G$71:$G$75</c:f>
              <c:numCache>
                <c:formatCode>[&gt;=1000000]"$"0.0,"M";[&gt;=1000]"$"0.0,"K";0</c:formatCode>
                <c:ptCount val="4"/>
                <c:pt idx="0">
                  <c:v>105651.85000000003</c:v>
                </c:pt>
                <c:pt idx="1">
                  <c:v>80155.98</c:v>
                </c:pt>
                <c:pt idx="2">
                  <c:v>127190.62000000001</c:v>
                </c:pt>
                <c:pt idx="3">
                  <c:v>98628.089999999982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A-4FEF-ABB9-82AE41E91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09393187107817"/>
          <c:y val="6.8631984970086629E-2"/>
          <c:w val="0.27929829704682635"/>
          <c:h val="0.856669366577760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F4F6F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34394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measures!PivotTable4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AC7DB">
              <a:alpha val="3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B5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and measures'!$B$57:$B$58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AC7DB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strRef>
              <c:f>'Pivot tables and measures'!$A$59:$A$63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 and measures'!$B$59:$B$63</c:f>
              <c:numCache>
                <c:formatCode>[&gt;=1000000]"$"0.0,"M";[&gt;=1000]"$"0.0,"K";0</c:formatCode>
                <c:ptCount val="4"/>
                <c:pt idx="0">
                  <c:v>61994.55999999999</c:v>
                </c:pt>
                <c:pt idx="1">
                  <c:v>88852.969999999987</c:v>
                </c:pt>
                <c:pt idx="2">
                  <c:v>123927.84999999996</c:v>
                </c:pt>
                <c:pt idx="3">
                  <c:v>90868.61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3-481E-B6E1-427CA497AD03}"/>
            </c:ext>
          </c:extLst>
        </c:ser>
        <c:ser>
          <c:idx val="1"/>
          <c:order val="1"/>
          <c:tx>
            <c:strRef>
              <c:f>'Pivot tables and measures'!$C$57:$C$58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2B5F7"/>
            </a:solidFill>
            <a:ln>
              <a:noFill/>
            </a:ln>
            <a:effectLst/>
          </c:spPr>
          <c:invertIfNegative val="0"/>
          <c:cat>
            <c:strRef>
              <c:f>'Pivot tables and measures'!$A$59:$A$63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 and measures'!$C$59:$C$63</c:f>
              <c:numCache>
                <c:formatCode>[&gt;=1000000]"$"0.0,"M";[&gt;=1000]"$"0.0,"K";0</c:formatCode>
                <c:ptCount val="4"/>
                <c:pt idx="0">
                  <c:v>121472.34000000003</c:v>
                </c:pt>
                <c:pt idx="1">
                  <c:v>93410.199999999968</c:v>
                </c:pt>
                <c:pt idx="2">
                  <c:v>145397.91999999998</c:v>
                </c:pt>
                <c:pt idx="3">
                  <c:v>115324.23000000001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63-481E-B6E1-427CA497A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7494495"/>
        <c:axId val="747490655"/>
      </c:barChart>
      <c:catAx>
        <c:axId val="74749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490655"/>
        <c:crosses val="autoZero"/>
        <c:auto val="1"/>
        <c:lblAlgn val="ctr"/>
        <c:lblOffset val="100"/>
        <c:noMultiLvlLbl val="0"/>
      </c:catAx>
      <c:valAx>
        <c:axId val="7474906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&gt;=1000000]&quot;$&quot;0.0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49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05160242153179"/>
          <c:y val="0.22268452105118722"/>
          <c:w val="0.11724824754937899"/>
          <c:h val="0.33981578880600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F4F6F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AC7DB">
              <a:alpha val="20000"/>
            </a:srgbClr>
          </a:solidFill>
          <a:ln>
            <a:noFill/>
          </a:ln>
          <a:effectLst>
            <a:softEdge rad="254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B5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4F6F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AC7DB">
              <a:alpha val="20000"/>
            </a:srgbClr>
          </a:solidFill>
          <a:ln>
            <a:noFill/>
          </a:ln>
          <a:effectLst>
            <a:softEdge rad="25400"/>
          </a:effectLst>
        </c:spPr>
      </c:pivotFmt>
    </c:pivotFmts>
    <c:plotArea>
      <c:layout>
        <c:manualLayout>
          <c:layoutTarget val="inner"/>
          <c:xMode val="edge"/>
          <c:yMode val="edge"/>
          <c:x val="8.5766777144861833E-2"/>
          <c:y val="8.2126992314976596E-2"/>
          <c:w val="0.84918971000103227"/>
          <c:h val="0.80570018293408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 and measures'!$B$44:$B$45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AC7DB">
                <a:alpha val="20000"/>
              </a:srgbClr>
            </a:solidFill>
            <a:ln>
              <a:noFill/>
            </a:ln>
            <a:effectLst>
              <a:softEdge rad="25400"/>
            </a:effectLst>
          </c:spPr>
          <c:invertIfNegative val="0"/>
          <c:cat>
            <c:strRef>
              <c:f>'Pivot tables and measures'!$A$46:$A$52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'Pivot tables and measures'!$B$46:$B$52</c:f>
              <c:numCache>
                <c:formatCode>[&gt;=1000000]"$"0.0,"M";[&gt;=1000]"$"0.0,"K";0</c:formatCode>
                <c:ptCount val="6"/>
                <c:pt idx="0">
                  <c:v>83732.830000000016</c:v>
                </c:pt>
                <c:pt idx="1">
                  <c:v>87038.010000000009</c:v>
                </c:pt>
                <c:pt idx="2">
                  <c:v>63549.779999999984</c:v>
                </c:pt>
                <c:pt idx="3">
                  <c:v>37447.310000000005</c:v>
                </c:pt>
                <c:pt idx="4">
                  <c:v>42008.6</c:v>
                </c:pt>
                <c:pt idx="5">
                  <c:v>51867.46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D-4E13-BEDA-2FE0FBBE75BA}"/>
            </c:ext>
          </c:extLst>
        </c:ser>
        <c:ser>
          <c:idx val="1"/>
          <c:order val="1"/>
          <c:tx>
            <c:strRef>
              <c:f>'Pivot tables and measures'!$C$44:$C$45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2B5F7"/>
            </a:solidFill>
            <a:ln>
              <a:noFill/>
            </a:ln>
            <a:effectLst/>
          </c:spPr>
          <c:invertIfNegative val="0"/>
          <c:cat>
            <c:strRef>
              <c:f>'Pivot tables and measures'!$A$46:$A$52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'Pivot tables and measures'!$C$46:$C$52</c:f>
              <c:numCache>
                <c:formatCode>[&gt;=1000000]"$"0.0,"M";[&gt;=1000]"$"0.0,"K";0</c:formatCode>
                <c:ptCount val="6"/>
                <c:pt idx="0">
                  <c:v>81620.740000000005</c:v>
                </c:pt>
                <c:pt idx="1">
                  <c:v>55919.660000000018</c:v>
                </c:pt>
                <c:pt idx="2">
                  <c:v>64330.260000000024</c:v>
                </c:pt>
                <c:pt idx="3">
                  <c:v>109494.29000000001</c:v>
                </c:pt>
                <c:pt idx="4">
                  <c:v>105919.48000000004</c:v>
                </c:pt>
                <c:pt idx="5">
                  <c:v>58320.259999999995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D-4E13-BEDA-2FE0FBBE7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7"/>
        <c:axId val="529408303"/>
        <c:axId val="529409263"/>
      </c:barChart>
      <c:catAx>
        <c:axId val="52940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409263"/>
        <c:crosses val="autoZero"/>
        <c:auto val="1"/>
        <c:lblAlgn val="ctr"/>
        <c:lblOffset val="100"/>
        <c:noMultiLvlLbl val="0"/>
      </c:catAx>
      <c:valAx>
        <c:axId val="5294092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&gt;=1000000]&quot;$&quot;0.0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4F6F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4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632796665007674"/>
          <c:y val="4.2303648193222597E-2"/>
          <c:w val="0.11095840743541474"/>
          <c:h val="0.564825145094988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F4F6F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4F6F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(version 1).xlsb.xlsx]Pivot tables and measures!PivotTable11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5400" cap="rnd">
            <a:solidFill>
              <a:srgbClr val="FD7FB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rgbClr val="FFE4A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 cap="rnd">
            <a:solidFill>
              <a:srgbClr val="FD7FB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solidFill>
              <a:srgbClr val="FFE4A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 cap="rnd">
            <a:solidFill>
              <a:srgbClr val="CAC7DB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 cap="rnd">
            <a:solidFill>
              <a:srgbClr val="CAC7DB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 cap="rnd">
            <a:solidFill>
              <a:srgbClr val="CAC7DB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 cap="rnd">
            <a:solidFill>
              <a:srgbClr val="CAC7DB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5400" cap="rnd">
            <a:solidFill>
              <a:srgbClr val="CAC7DB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5400" cap="rnd">
            <a:solidFill>
              <a:srgbClr val="AAE6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8.116522932956706E-2"/>
          <c:w val="1"/>
          <c:h val="0.9128250260892785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and measures'!$L$25:$L$26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solidFill>
                <a:srgbClr val="CAC7DB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measures'!$K$27:$K$31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 and measures'!$L$27:$L$31</c:f>
              <c:numCache>
                <c:formatCode>[&gt;=1000000]"$"0.0,"M";[&gt;=1000]"$"0.0,"K";0</c:formatCode>
                <c:ptCount val="4"/>
                <c:pt idx="0">
                  <c:v>14858.35</c:v>
                </c:pt>
                <c:pt idx="1">
                  <c:v>11681.549999999996</c:v>
                </c:pt>
                <c:pt idx="2">
                  <c:v>15455.970000000003</c:v>
                </c:pt>
                <c:pt idx="3">
                  <c:v>15545.880000000001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0A-4FC0-A18C-CF50625FD6E1}"/>
            </c:ext>
          </c:extLst>
        </c:ser>
        <c:ser>
          <c:idx val="1"/>
          <c:order val="1"/>
          <c:tx>
            <c:strRef>
              <c:f>'Pivot tables and measures'!$M$25:$M$26</c:f>
              <c:strCache>
                <c:ptCount val="1"/>
                <c:pt idx="0">
                  <c:v>2024</c:v>
                </c:pt>
              </c:strCache>
            </c:strRef>
          </c:tx>
          <c:spPr>
            <a:ln w="25400" cap="rnd">
              <a:solidFill>
                <a:srgbClr val="AAE6FF"/>
              </a:solidFill>
              <a:round/>
            </a:ln>
            <a:effectLst/>
          </c:spPr>
          <c:marker>
            <c:symbol val="none"/>
          </c:marker>
          <c:cat>
            <c:strRef>
              <c:f>'Pivot tables and measures'!$K$27:$K$31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 and measures'!$M$27:$M$31</c:f>
              <c:numCache>
                <c:formatCode>[&gt;=1000000]"$"0.0,"M";[&gt;=1000]"$"0.0,"K";0</c:formatCode>
                <c:ptCount val="4"/>
                <c:pt idx="0">
                  <c:v>14980.41</c:v>
                </c:pt>
                <c:pt idx="1">
                  <c:v>12698.280000000002</c:v>
                </c:pt>
                <c:pt idx="2">
                  <c:v>19318.900000000001</c:v>
                </c:pt>
                <c:pt idx="3">
                  <c:v>16980.560000000001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0A-4FC0-A18C-CF50625F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553807"/>
        <c:axId val="858554287"/>
      </c:lineChart>
      <c:catAx>
        <c:axId val="858553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8554287"/>
        <c:crosses val="autoZero"/>
        <c:auto val="1"/>
        <c:lblAlgn val="ctr"/>
        <c:lblOffset val="100"/>
        <c:noMultiLvlLbl val="0"/>
      </c:catAx>
      <c:valAx>
        <c:axId val="858554287"/>
        <c:scaling>
          <c:orientation val="minMax"/>
        </c:scaling>
        <c:delete val="1"/>
        <c:axPos val="l"/>
        <c:numFmt formatCode="[&gt;=1000000]&quot;$&quot;0.0,&quot;M&quot;;[&gt;=1000]&quot;$&quot;0.0,&quot;K&quot;;0" sourceLinked="1"/>
        <c:majorTickMark val="none"/>
        <c:minorTickMark val="none"/>
        <c:tickLblPos val="nextTo"/>
        <c:crossAx val="85855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18" Type="http://schemas.openxmlformats.org/officeDocument/2006/relationships/image" Target="../media/image5.png"/><Relationship Id="rId3" Type="http://schemas.openxmlformats.org/officeDocument/2006/relationships/chart" Target="../charts/chart1.xml"/><Relationship Id="rId21" Type="http://schemas.openxmlformats.org/officeDocument/2006/relationships/image" Target="../media/image7.png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17" Type="http://schemas.openxmlformats.org/officeDocument/2006/relationships/hyperlink" Target="#Dashboard!A1"/><Relationship Id="rId2" Type="http://schemas.openxmlformats.org/officeDocument/2006/relationships/image" Target="../media/image2.svg"/><Relationship Id="rId16" Type="http://schemas.openxmlformats.org/officeDocument/2006/relationships/image" Target="../media/image4.svg"/><Relationship Id="rId20" Type="http://schemas.openxmlformats.org/officeDocument/2006/relationships/hyperlink" Target="#'Pivot tables and measures'!A1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5" Type="http://schemas.openxmlformats.org/officeDocument/2006/relationships/image" Target="../media/image3.png"/><Relationship Id="rId10" Type="http://schemas.openxmlformats.org/officeDocument/2006/relationships/chart" Target="../charts/chart8.xml"/><Relationship Id="rId19" Type="http://schemas.openxmlformats.org/officeDocument/2006/relationships/image" Target="../media/image6.svg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hyperlink" Target="#'Sales Data'!A1"/><Relationship Id="rId22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40481</xdr:rowOff>
    </xdr:from>
    <xdr:to>
      <xdr:col>36</xdr:col>
      <xdr:colOff>0</xdr:colOff>
      <xdr:row>48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01E66C9-3444-FE16-FED7-2A2F4EE21623}"/>
            </a:ext>
          </a:extLst>
        </xdr:cNvPr>
        <xdr:cNvSpPr/>
      </xdr:nvSpPr>
      <xdr:spPr>
        <a:xfrm>
          <a:off x="1860698" y="638562"/>
          <a:ext cx="20467674" cy="9006940"/>
        </a:xfrm>
        <a:prstGeom prst="roundRect">
          <a:avLst>
            <a:gd name="adj" fmla="val 4667"/>
          </a:avLst>
        </a:prstGeom>
        <a:solidFill>
          <a:srgbClr val="0C0C1E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375486</xdr:colOff>
      <xdr:row>7</xdr:row>
      <xdr:rowOff>13607</xdr:rowOff>
    </xdr:from>
    <xdr:to>
      <xdr:col>18</xdr:col>
      <xdr:colOff>74757</xdr:colOff>
      <xdr:row>24</xdr:row>
      <xdr:rowOff>133907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B46A94D-82B2-4D4D-A4D3-CD89AF910CF7}"/>
            </a:ext>
          </a:extLst>
        </xdr:cNvPr>
        <xdr:cNvSpPr/>
      </xdr:nvSpPr>
      <xdr:spPr>
        <a:xfrm>
          <a:off x="7734527" y="1383641"/>
          <a:ext cx="3378792" cy="3447526"/>
        </a:xfrm>
        <a:prstGeom prst="roundRect">
          <a:avLst>
            <a:gd name="adj" fmla="val 4189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14806</xdr:colOff>
      <xdr:row>7</xdr:row>
      <xdr:rowOff>13607</xdr:rowOff>
    </xdr:from>
    <xdr:to>
      <xdr:col>34</xdr:col>
      <xdr:colOff>581656</xdr:colOff>
      <xdr:row>24</xdr:row>
      <xdr:rowOff>134536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1C99577-B709-4197-9153-A94EAAD1306D}"/>
            </a:ext>
          </a:extLst>
        </xdr:cNvPr>
        <xdr:cNvSpPr/>
      </xdr:nvSpPr>
      <xdr:spPr>
        <a:xfrm>
          <a:off x="11648913" y="1347107"/>
          <a:ext cx="9751672" cy="3359429"/>
        </a:xfrm>
        <a:prstGeom prst="roundRect">
          <a:avLst>
            <a:gd name="adj" fmla="val 3699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35</xdr:col>
      <xdr:colOff>0</xdr:colOff>
      <xdr:row>45</xdr:row>
      <xdr:rowOff>1500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CB04E8A-9B72-4F14-A879-4BF1250B571D}"/>
            </a:ext>
          </a:extLst>
        </xdr:cNvPr>
        <xdr:cNvSpPr/>
      </xdr:nvSpPr>
      <xdr:spPr>
        <a:xfrm>
          <a:off x="11634107" y="5143500"/>
          <a:ext cx="9797143" cy="3430500"/>
        </a:xfrm>
        <a:prstGeom prst="roundRect">
          <a:avLst>
            <a:gd name="adj" fmla="val 5579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rgbClr val="34394E"/>
            </a:solidFill>
          </a:endParaRPr>
        </a:p>
      </xdr:txBody>
    </xdr:sp>
    <xdr:clientData/>
  </xdr:twoCellAnchor>
  <xdr:twoCellAnchor>
    <xdr:from>
      <xdr:col>14</xdr:col>
      <xdr:colOff>0</xdr:colOff>
      <xdr:row>1</xdr:row>
      <xdr:rowOff>167481</xdr:rowOff>
    </xdr:from>
    <xdr:to>
      <xdr:col>24</xdr:col>
      <xdr:colOff>119014</xdr:colOff>
      <xdr:row>4</xdr:row>
      <xdr:rowOff>167481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B7DB37B-1852-401E-A365-93C34212E236}"/>
            </a:ext>
          </a:extLst>
        </xdr:cNvPr>
        <xdr:cNvSpPr/>
      </xdr:nvSpPr>
      <xdr:spPr>
        <a:xfrm>
          <a:off x="8572500" y="357981"/>
          <a:ext cx="6242228" cy="571500"/>
        </a:xfrm>
        <a:prstGeom prst="roundRect">
          <a:avLst>
            <a:gd name="adj" fmla="val 30107"/>
          </a:avLst>
        </a:prstGeom>
        <a:solidFill>
          <a:srgbClr val="34394E"/>
        </a:solidFill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445409</xdr:colOff>
      <xdr:row>27</xdr:row>
      <xdr:rowOff>0</xdr:rowOff>
    </xdr:from>
    <xdr:to>
      <xdr:col>18</xdr:col>
      <xdr:colOff>144680</xdr:colOff>
      <xdr:row>45</xdr:row>
      <xdr:rowOff>1500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6D05AB74-E091-42A6-985A-BF13FDA11FDD}"/>
            </a:ext>
          </a:extLst>
        </xdr:cNvPr>
        <xdr:cNvSpPr/>
      </xdr:nvSpPr>
      <xdr:spPr>
        <a:xfrm>
          <a:off x="7804450" y="5284418"/>
          <a:ext cx="3378792" cy="3524445"/>
        </a:xfrm>
        <a:prstGeom prst="roundRect">
          <a:avLst>
            <a:gd name="adj" fmla="val 4626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129764</xdr:colOff>
      <xdr:row>7</xdr:row>
      <xdr:rowOff>13607</xdr:rowOff>
    </xdr:from>
    <xdr:to>
      <xdr:col>11</xdr:col>
      <xdr:colOff>441777</xdr:colOff>
      <xdr:row>24</xdr:row>
      <xdr:rowOff>133907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C43A3463-FA5B-427B-9B6A-ADDB00F0CE17}"/>
            </a:ext>
          </a:extLst>
        </xdr:cNvPr>
        <xdr:cNvSpPr/>
      </xdr:nvSpPr>
      <xdr:spPr>
        <a:xfrm>
          <a:off x="3809285" y="1383641"/>
          <a:ext cx="3378280" cy="3447526"/>
        </a:xfrm>
        <a:prstGeom prst="roundRect">
          <a:avLst>
            <a:gd name="adj" fmla="val 5772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3</xdr:col>
      <xdr:colOff>146050</xdr:colOff>
      <xdr:row>59</xdr:row>
      <xdr:rowOff>154781</xdr:rowOff>
    </xdr:from>
    <xdr:to>
      <xdr:col>36</xdr:col>
      <xdr:colOff>146050</xdr:colOff>
      <xdr:row>105</xdr:row>
      <xdr:rowOff>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FFCECD2B-384C-4A60-A869-009A47ED649D}"/>
            </a:ext>
          </a:extLst>
        </xdr:cNvPr>
        <xdr:cNvSpPr/>
      </xdr:nvSpPr>
      <xdr:spPr>
        <a:xfrm>
          <a:off x="1974850" y="11394281"/>
          <a:ext cx="20116800" cy="8608219"/>
        </a:xfrm>
        <a:prstGeom prst="roundRect">
          <a:avLst>
            <a:gd name="adj" fmla="val 4667"/>
          </a:avLst>
        </a:prstGeom>
        <a:solidFill>
          <a:srgbClr val="0C0C1E"/>
        </a:solidFill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502906</xdr:colOff>
      <xdr:row>7</xdr:row>
      <xdr:rowOff>184349</xdr:rowOff>
    </xdr:from>
    <xdr:to>
      <xdr:col>5</xdr:col>
      <xdr:colOff>13048</xdr:colOff>
      <xdr:row>45</xdr:row>
      <xdr:rowOff>43059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9FFD95F2-615C-4A22-B710-952EFBCCE893}"/>
            </a:ext>
          </a:extLst>
        </xdr:cNvPr>
        <xdr:cNvSpPr/>
      </xdr:nvSpPr>
      <xdr:spPr>
        <a:xfrm>
          <a:off x="2342666" y="1554383"/>
          <a:ext cx="736649" cy="7296039"/>
        </a:xfrm>
        <a:prstGeom prst="roundRect">
          <a:avLst>
            <a:gd name="adj" fmla="val 10633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122467</xdr:colOff>
      <xdr:row>80</xdr:row>
      <xdr:rowOff>0</xdr:rowOff>
    </xdr:from>
    <xdr:to>
      <xdr:col>18</xdr:col>
      <xdr:colOff>56201</xdr:colOff>
      <xdr:row>102</xdr:row>
      <xdr:rowOff>57000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F1F6BB15-D17A-4B50-A32F-EBA94EE1697F}"/>
            </a:ext>
          </a:extLst>
        </xdr:cNvPr>
        <xdr:cNvSpPr/>
      </xdr:nvSpPr>
      <xdr:spPr>
        <a:xfrm>
          <a:off x="3780067" y="15240000"/>
          <a:ext cx="7248934" cy="4248000"/>
        </a:xfrm>
        <a:prstGeom prst="roundRect">
          <a:avLst>
            <a:gd name="adj" fmla="val 5579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175989</xdr:colOff>
      <xdr:row>65</xdr:row>
      <xdr:rowOff>52300</xdr:rowOff>
    </xdr:from>
    <xdr:to>
      <xdr:col>18</xdr:col>
      <xdr:colOff>109722</xdr:colOff>
      <xdr:row>78</xdr:row>
      <xdr:rowOff>65907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BB1D0C71-352D-4957-96AD-44216187F561}"/>
            </a:ext>
          </a:extLst>
        </xdr:cNvPr>
        <xdr:cNvSpPr/>
      </xdr:nvSpPr>
      <xdr:spPr>
        <a:xfrm>
          <a:off x="3849918" y="12434800"/>
          <a:ext cx="7281590" cy="2490107"/>
        </a:xfrm>
        <a:prstGeom prst="roundRect">
          <a:avLst>
            <a:gd name="adj" fmla="val 5579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119014</xdr:colOff>
      <xdr:row>65</xdr:row>
      <xdr:rowOff>12700</xdr:rowOff>
    </xdr:from>
    <xdr:to>
      <xdr:col>35</xdr:col>
      <xdr:colOff>117814</xdr:colOff>
      <xdr:row>82</xdr:row>
      <xdr:rowOff>14200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22FC0179-B9A9-4A7C-836C-985B7034C862}"/>
            </a:ext>
          </a:extLst>
        </xdr:cNvPr>
        <xdr:cNvSpPr/>
      </xdr:nvSpPr>
      <xdr:spPr>
        <a:xfrm>
          <a:off x="11701414" y="12395200"/>
          <a:ext cx="9752400" cy="3240000"/>
        </a:xfrm>
        <a:prstGeom prst="roundRect">
          <a:avLst>
            <a:gd name="adj" fmla="val 5579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115500</xdr:colOff>
      <xdr:row>83</xdr:row>
      <xdr:rowOff>190499</xdr:rowOff>
    </xdr:from>
    <xdr:to>
      <xdr:col>35</xdr:col>
      <xdr:colOff>114300</xdr:colOff>
      <xdr:row>102</xdr:row>
      <xdr:rowOff>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494E2FA9-9537-4E55-B931-D1C0A70EB531}"/>
            </a:ext>
          </a:extLst>
        </xdr:cNvPr>
        <xdr:cNvSpPr/>
      </xdr:nvSpPr>
      <xdr:spPr>
        <a:xfrm>
          <a:off x="11697900" y="16001999"/>
          <a:ext cx="9752400" cy="3429001"/>
        </a:xfrm>
        <a:prstGeom prst="roundRect">
          <a:avLst>
            <a:gd name="adj" fmla="val 5579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489858</xdr:colOff>
      <xdr:row>64</xdr:row>
      <xdr:rowOff>136071</xdr:rowOff>
    </xdr:from>
    <xdr:to>
      <xdr:col>5</xdr:col>
      <xdr:colOff>0</xdr:colOff>
      <xdr:row>102</xdr:row>
      <xdr:rowOff>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23BD32FF-9D91-45A3-90CB-5A21060477A2}"/>
            </a:ext>
          </a:extLst>
        </xdr:cNvPr>
        <xdr:cNvSpPr/>
      </xdr:nvSpPr>
      <xdr:spPr>
        <a:xfrm>
          <a:off x="2326822" y="12328071"/>
          <a:ext cx="734785" cy="7102929"/>
        </a:xfrm>
        <a:prstGeom prst="roundRect">
          <a:avLst>
            <a:gd name="adj" fmla="val 10633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108857</xdr:colOff>
      <xdr:row>58</xdr:row>
      <xdr:rowOff>27214</xdr:rowOff>
    </xdr:from>
    <xdr:to>
      <xdr:col>23</xdr:col>
      <xdr:colOff>342107</xdr:colOff>
      <xdr:row>61</xdr:row>
      <xdr:rowOff>27214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E34E0765-83EB-4C16-B9DC-7FD9D61CE6B8}"/>
            </a:ext>
          </a:extLst>
        </xdr:cNvPr>
        <xdr:cNvSpPr/>
      </xdr:nvSpPr>
      <xdr:spPr>
        <a:xfrm>
          <a:off x="8681357" y="11076214"/>
          <a:ext cx="5744143" cy="571500"/>
        </a:xfrm>
        <a:prstGeom prst="roundRect">
          <a:avLst>
            <a:gd name="adj" fmla="val 30107"/>
          </a:avLst>
        </a:prstGeom>
        <a:solidFill>
          <a:srgbClr val="34394E"/>
        </a:solidFill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14</xdr:col>
      <xdr:colOff>584314</xdr:colOff>
      <xdr:row>2</xdr:row>
      <xdr:rowOff>0</xdr:rowOff>
    </xdr:from>
    <xdr:ext cx="5104607" cy="530658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9523E90-10A4-6F37-B825-3D809C61A0A2}"/>
            </a:ext>
          </a:extLst>
        </xdr:cNvPr>
        <xdr:cNvSpPr txBox="1"/>
      </xdr:nvSpPr>
      <xdr:spPr>
        <a:xfrm>
          <a:off x="9156814" y="381000"/>
          <a:ext cx="5104607" cy="53065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>
              <a:solidFill>
                <a:srgbClr val="F4F6F9"/>
              </a:solidFill>
            </a:rPr>
            <a:t>Products</a:t>
          </a:r>
          <a:r>
            <a:rPr lang="en-GB" sz="2800" baseline="0">
              <a:solidFill>
                <a:srgbClr val="F4F6F9"/>
              </a:solidFill>
            </a:rPr>
            <a:t> Overview &amp; Profit insights</a:t>
          </a:r>
          <a:endParaRPr lang="en-GB" sz="2800">
            <a:solidFill>
              <a:srgbClr val="F4F6F9"/>
            </a:solidFill>
          </a:endParaRPr>
        </a:p>
      </xdr:txBody>
    </xdr:sp>
    <xdr:clientData/>
  </xdr:oneCellAnchor>
  <xdr:twoCellAnchor>
    <xdr:from>
      <xdr:col>7</xdr:col>
      <xdr:colOff>200479</xdr:colOff>
      <xdr:row>5</xdr:row>
      <xdr:rowOff>10114</xdr:rowOff>
    </xdr:from>
    <xdr:to>
      <xdr:col>13</xdr:col>
      <xdr:colOff>200479</xdr:colOff>
      <xdr:row>6</xdr:row>
      <xdr:rowOff>179614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9375F02-2C63-3454-08DB-5A43933CA378}"/>
            </a:ext>
          </a:extLst>
        </xdr:cNvPr>
        <xdr:cNvSpPr txBox="1"/>
      </xdr:nvSpPr>
      <xdr:spPr>
        <a:xfrm>
          <a:off x="4467679" y="962614"/>
          <a:ext cx="3657600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rgbClr val="F4F6F9"/>
              </a:solidFill>
              <a:latin typeface="+mn-lt"/>
              <a:ea typeface="Verdana" panose="020B0604030504040204" pitchFamily="34" charset="0"/>
              <a:cs typeface="Segoe UI" panose="020B0502040204020203" pitchFamily="34" charset="0"/>
            </a:rPr>
            <a:t>Products Performance</a:t>
          </a:r>
          <a:r>
            <a:rPr lang="en-GB" sz="1600" baseline="0">
              <a:solidFill>
                <a:srgbClr val="F4F6F9"/>
              </a:solidFill>
              <a:latin typeface="+mn-lt"/>
              <a:ea typeface="Verdana" panose="020B0604030504040204" pitchFamily="34" charset="0"/>
              <a:cs typeface="Segoe UI" panose="020B0502040204020203" pitchFamily="34" charset="0"/>
            </a:rPr>
            <a:t> (2023 vs.2024)</a:t>
          </a:r>
          <a:endParaRPr lang="en-GB" sz="1600">
            <a:solidFill>
              <a:srgbClr val="F4F6F9"/>
            </a:solidFill>
            <a:latin typeface="+mn-lt"/>
            <a:ea typeface="Verdana" panose="020B0604030504040204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6</xdr:col>
      <xdr:colOff>387485</xdr:colOff>
      <xdr:row>5</xdr:row>
      <xdr:rowOff>10114</xdr:rowOff>
    </xdr:from>
    <xdr:to>
      <xdr:col>7</xdr:col>
      <xdr:colOff>135164</xdr:colOff>
      <xdr:row>6</xdr:row>
      <xdr:rowOff>179614</xdr:rowOff>
    </xdr:to>
    <xdr:pic>
      <xdr:nvPicPr>
        <xdr:cNvPr id="60" name="Graphic 59" descr="Upward trend with solid fill">
          <a:extLst>
            <a:ext uri="{FF2B5EF4-FFF2-40B4-BE49-F238E27FC236}">
              <a16:creationId xmlns:a16="http://schemas.microsoft.com/office/drawing/2014/main" id="{E907C7D9-7FA0-CF1F-266E-9EF486F77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45085" y="962614"/>
          <a:ext cx="357279" cy="360000"/>
        </a:xfrm>
        <a:prstGeom prst="rect">
          <a:avLst/>
        </a:prstGeom>
      </xdr:spPr>
    </xdr:pic>
    <xdr:clientData/>
  </xdr:twoCellAnchor>
  <xdr:twoCellAnchor>
    <xdr:from>
      <xdr:col>6</xdr:col>
      <xdr:colOff>182669</xdr:colOff>
      <xdr:row>7</xdr:row>
      <xdr:rowOff>130480</xdr:rowOff>
    </xdr:from>
    <xdr:to>
      <xdr:col>8</xdr:col>
      <xdr:colOff>0</xdr:colOff>
      <xdr:row>10</xdr:row>
      <xdr:rowOff>52192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5599358-8563-BEFB-A6A7-4875456DC083}"/>
            </a:ext>
          </a:extLst>
        </xdr:cNvPr>
        <xdr:cNvSpPr txBox="1"/>
      </xdr:nvSpPr>
      <xdr:spPr>
        <a:xfrm>
          <a:off x="3862190" y="1500514"/>
          <a:ext cx="1043837" cy="508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rgbClr val="F4F6F9"/>
              </a:solidFill>
              <a:latin typeface="+mn-lt"/>
              <a:cs typeface="Segoe UI" panose="020B0502040204020203" pitchFamily="34" charset="0"/>
            </a:rPr>
            <a:t>Profit</a:t>
          </a:r>
        </a:p>
      </xdr:txBody>
    </xdr:sp>
    <xdr:clientData/>
  </xdr:twoCellAnchor>
  <xdr:twoCellAnchor>
    <xdr:from>
      <xdr:col>13</xdr:col>
      <xdr:colOff>20689</xdr:colOff>
      <xdr:row>8</xdr:row>
      <xdr:rowOff>16403</xdr:rowOff>
    </xdr:from>
    <xdr:to>
      <xdr:col>14</xdr:col>
      <xdr:colOff>234863</xdr:colOff>
      <xdr:row>10</xdr:row>
      <xdr:rowOff>26096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3530AF3-32AD-486F-82D9-840EE5EAB75B}"/>
            </a:ext>
          </a:extLst>
        </xdr:cNvPr>
        <xdr:cNvSpPr txBox="1"/>
      </xdr:nvSpPr>
      <xdr:spPr>
        <a:xfrm>
          <a:off x="7992984" y="1582156"/>
          <a:ext cx="827427" cy="401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>
              <a:solidFill>
                <a:srgbClr val="F4F6F9"/>
              </a:solidFill>
              <a:latin typeface="+mn-lt"/>
              <a:cs typeface="Segoe UI" panose="020B0502040204020203" pitchFamily="34" charset="0"/>
            </a:rPr>
            <a:t>Sales</a:t>
          </a:r>
        </a:p>
      </xdr:txBody>
    </xdr:sp>
    <xdr:clientData/>
  </xdr:twoCellAnchor>
  <xdr:twoCellAnchor>
    <xdr:from>
      <xdr:col>13</xdr:col>
      <xdr:colOff>59833</xdr:colOff>
      <xdr:row>27</xdr:row>
      <xdr:rowOff>192662</xdr:rowOff>
    </xdr:from>
    <xdr:to>
      <xdr:col>15</xdr:col>
      <xdr:colOff>305695</xdr:colOff>
      <xdr:row>29</xdr:row>
      <xdr:rowOff>165448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147B751-F9DF-4FF5-B865-68335FE10075}"/>
            </a:ext>
          </a:extLst>
        </xdr:cNvPr>
        <xdr:cNvSpPr txBox="1"/>
      </xdr:nvSpPr>
      <xdr:spPr>
        <a:xfrm>
          <a:off x="8032128" y="5477080"/>
          <a:ext cx="1472368" cy="364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>
              <a:solidFill>
                <a:srgbClr val="F4F6F9"/>
              </a:solidFill>
              <a:latin typeface="+mn-lt"/>
              <a:cs typeface="Segoe UI" panose="020B0502040204020203" pitchFamily="34" charset="0"/>
            </a:rPr>
            <a:t>Quantity</a:t>
          </a:r>
        </a:p>
      </xdr:txBody>
    </xdr:sp>
    <xdr:clientData/>
  </xdr:twoCellAnchor>
  <xdr:twoCellAnchor>
    <xdr:from>
      <xdr:col>19</xdr:col>
      <xdr:colOff>237964</xdr:colOff>
      <xdr:row>28</xdr:row>
      <xdr:rowOff>122464</xdr:rowOff>
    </xdr:from>
    <xdr:to>
      <xdr:col>24</xdr:col>
      <xdr:colOff>119014</xdr:colOff>
      <xdr:row>30</xdr:row>
      <xdr:rowOff>122464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E6313A1-FE20-4C15-9E8E-99278FD84631}"/>
            </a:ext>
          </a:extLst>
        </xdr:cNvPr>
        <xdr:cNvSpPr txBox="1"/>
      </xdr:nvSpPr>
      <xdr:spPr>
        <a:xfrm>
          <a:off x="11872071" y="5456464"/>
          <a:ext cx="2942657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aseline="0">
              <a:solidFill>
                <a:srgbClr val="F4F6F9"/>
              </a:solidFill>
              <a:latin typeface="+mn-lt"/>
              <a:cs typeface="Segoe UI" panose="020B0502040204020203" pitchFamily="34" charset="0"/>
            </a:rPr>
            <a:t>Revenue Breakdown by Product</a:t>
          </a:r>
          <a:endParaRPr lang="en-GB" sz="1600">
            <a:solidFill>
              <a:srgbClr val="F4F6F9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20</xdr:col>
      <xdr:colOff>0</xdr:colOff>
      <xdr:row>85</xdr:row>
      <xdr:rowOff>0</xdr:rowOff>
    </xdr:from>
    <xdr:to>
      <xdr:col>24</xdr:col>
      <xdr:colOff>0</xdr:colOff>
      <xdr:row>87</xdr:row>
      <xdr:rowOff>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E7EB89A-FDD0-4C2B-912F-EF684480D83A}"/>
            </a:ext>
          </a:extLst>
        </xdr:cNvPr>
        <xdr:cNvSpPr txBox="1"/>
      </xdr:nvSpPr>
      <xdr:spPr>
        <a:xfrm>
          <a:off x="12246429" y="16192500"/>
          <a:ext cx="244928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rgbClr val="F4F6F9"/>
              </a:solidFill>
            </a:rPr>
            <a:t>Sales</a:t>
          </a:r>
          <a:r>
            <a:rPr lang="en-GB" sz="1600" baseline="0">
              <a:solidFill>
                <a:srgbClr val="F4F6F9"/>
              </a:solidFill>
            </a:rPr>
            <a:t> vs Cost Tracker</a:t>
          </a:r>
          <a:endParaRPr lang="en-GB" sz="1600">
            <a:solidFill>
              <a:srgbClr val="F4F6F9"/>
            </a:solidFill>
          </a:endParaRPr>
        </a:p>
      </xdr:txBody>
    </xdr:sp>
    <xdr:clientData/>
  </xdr:twoCellAnchor>
  <xdr:twoCellAnchor>
    <xdr:from>
      <xdr:col>19</xdr:col>
      <xdr:colOff>115500</xdr:colOff>
      <xdr:row>8</xdr:row>
      <xdr:rowOff>0</xdr:rowOff>
    </xdr:from>
    <xdr:to>
      <xdr:col>25</xdr:col>
      <xdr:colOff>396535</xdr:colOff>
      <xdr:row>10</xdr:row>
      <xdr:rowOff>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DCA5967-9953-4C57-A25A-531E5013DCAA}"/>
            </a:ext>
          </a:extLst>
        </xdr:cNvPr>
        <xdr:cNvSpPr txBox="1"/>
      </xdr:nvSpPr>
      <xdr:spPr>
        <a:xfrm>
          <a:off x="11749607" y="1524000"/>
          <a:ext cx="395496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rgbClr val="F4F6F9"/>
              </a:solidFill>
            </a:rPr>
            <a:t>Monthly</a:t>
          </a:r>
          <a:r>
            <a:rPr lang="en-GB" sz="1600" baseline="0">
              <a:solidFill>
                <a:srgbClr val="F4F6F9"/>
              </a:solidFill>
            </a:rPr>
            <a:t> Revenue Trend : 2023 vs 2024</a:t>
          </a:r>
        </a:p>
        <a:p>
          <a:endParaRPr lang="en-GB" sz="1600">
            <a:solidFill>
              <a:srgbClr val="F4F6F9"/>
            </a:solidFill>
          </a:endParaRPr>
        </a:p>
      </xdr:txBody>
    </xdr:sp>
    <xdr:clientData/>
  </xdr:twoCellAnchor>
  <xdr:oneCellAnchor>
    <xdr:from>
      <xdr:col>15</xdr:col>
      <xdr:colOff>136072</xdr:colOff>
      <xdr:row>58</xdr:row>
      <xdr:rowOff>27214</xdr:rowOff>
    </xdr:from>
    <xdr:ext cx="4286249" cy="530658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709D220-ECCB-4B38-AAB4-3EC500C82BB5}"/>
            </a:ext>
          </a:extLst>
        </xdr:cNvPr>
        <xdr:cNvSpPr txBox="1"/>
      </xdr:nvSpPr>
      <xdr:spPr>
        <a:xfrm>
          <a:off x="9320893" y="11076214"/>
          <a:ext cx="4286249" cy="53065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2800">
              <a:solidFill>
                <a:srgbClr val="F4F6F9"/>
              </a:solidFill>
            </a:rPr>
            <a:t>Regional</a:t>
          </a:r>
          <a:r>
            <a:rPr lang="en-GB" sz="2800" baseline="0">
              <a:solidFill>
                <a:srgbClr val="F4F6F9"/>
              </a:solidFill>
            </a:rPr>
            <a:t> &amp; Sales Insights</a:t>
          </a:r>
          <a:endParaRPr lang="en-GB" sz="2800">
            <a:solidFill>
              <a:srgbClr val="F4F6F9"/>
            </a:solidFill>
          </a:endParaRPr>
        </a:p>
      </xdr:txBody>
    </xdr:sp>
    <xdr:clientData/>
  </xdr:oneCellAnchor>
  <xdr:twoCellAnchor>
    <xdr:from>
      <xdr:col>6</xdr:col>
      <xdr:colOff>454477</xdr:colOff>
      <xdr:row>65</xdr:row>
      <xdr:rowOff>66814</xdr:rowOff>
    </xdr:from>
    <xdr:to>
      <xdr:col>10</xdr:col>
      <xdr:colOff>558621</xdr:colOff>
      <xdr:row>67</xdr:row>
      <xdr:rowOff>66814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79F6414-6852-4A17-BBF5-CCCA50843495}"/>
            </a:ext>
          </a:extLst>
        </xdr:cNvPr>
        <xdr:cNvSpPr txBox="1"/>
      </xdr:nvSpPr>
      <xdr:spPr>
        <a:xfrm>
          <a:off x="4128406" y="12449314"/>
          <a:ext cx="255342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aseline="0">
              <a:solidFill>
                <a:srgbClr val="F4F6F9"/>
              </a:solidFill>
              <a:latin typeface="+mn-lt"/>
              <a:cs typeface="Segoe UI" panose="020B0502040204020203" pitchFamily="34" charset="0"/>
            </a:rPr>
            <a:t>Regional Profit Contribution</a:t>
          </a:r>
        </a:p>
        <a:p>
          <a:endParaRPr lang="en-GB" sz="1600">
            <a:solidFill>
              <a:srgbClr val="F4F6F9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503463</xdr:colOff>
      <xdr:row>80</xdr:row>
      <xdr:rowOff>165100</xdr:rowOff>
    </xdr:from>
    <xdr:to>
      <xdr:col>11</xdr:col>
      <xdr:colOff>527050</xdr:colOff>
      <xdr:row>82</xdr:row>
      <xdr:rowOff>165100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BA91F5F-E8F0-4FCB-9971-DCB5DEAD93EE}"/>
            </a:ext>
          </a:extLst>
        </xdr:cNvPr>
        <xdr:cNvSpPr txBox="1"/>
      </xdr:nvSpPr>
      <xdr:spPr>
        <a:xfrm>
          <a:off x="4177392" y="15405100"/>
          <a:ext cx="308519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aseline="0">
              <a:solidFill>
                <a:srgbClr val="F4F6F9"/>
              </a:solidFill>
              <a:latin typeface="+mn-lt"/>
              <a:cs typeface="Segoe UI" panose="020B0502040204020203" pitchFamily="34" charset="0"/>
            </a:rPr>
            <a:t>Regional Sales Distribution</a:t>
          </a:r>
        </a:p>
        <a:p>
          <a:endParaRPr lang="en-GB" sz="1600">
            <a:solidFill>
              <a:srgbClr val="F4F6F9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290464</xdr:colOff>
      <xdr:row>65</xdr:row>
      <xdr:rowOff>133350</xdr:rowOff>
    </xdr:from>
    <xdr:to>
      <xdr:col>24</xdr:col>
      <xdr:colOff>119014</xdr:colOff>
      <xdr:row>67</xdr:row>
      <xdr:rowOff>66814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CEA06C72-ED66-4145-A2B9-83B600991ACE}"/>
            </a:ext>
          </a:extLst>
        </xdr:cNvPr>
        <xdr:cNvSpPr txBox="1"/>
      </xdr:nvSpPr>
      <xdr:spPr>
        <a:xfrm>
          <a:off x="11924571" y="12515850"/>
          <a:ext cx="2890157" cy="314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rgbClr val="F4F6F9"/>
              </a:solidFill>
              <a:latin typeface="+mn-lt"/>
              <a:cs typeface="Segoe UI" panose="020B0502040204020203" pitchFamily="34" charset="0"/>
            </a:rPr>
            <a:t>Sales</a:t>
          </a:r>
          <a:r>
            <a:rPr lang="en-GB" sz="1600" baseline="0">
              <a:solidFill>
                <a:srgbClr val="F4F6F9"/>
              </a:solidFill>
              <a:latin typeface="+mn-lt"/>
              <a:cs typeface="Segoe UI" panose="020B0502040204020203" pitchFamily="34" charset="0"/>
            </a:rPr>
            <a:t> Breakdown by Product</a:t>
          </a:r>
          <a:endParaRPr lang="en-GB" sz="1600">
            <a:solidFill>
              <a:srgbClr val="F4F6F9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290464</xdr:colOff>
      <xdr:row>65</xdr:row>
      <xdr:rowOff>80421</xdr:rowOff>
    </xdr:from>
    <xdr:to>
      <xdr:col>24</xdr:col>
      <xdr:colOff>277586</xdr:colOff>
      <xdr:row>67</xdr:row>
      <xdr:rowOff>80421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57B1AC9-891D-41BB-AB03-06A366181907}"/>
            </a:ext>
          </a:extLst>
        </xdr:cNvPr>
        <xdr:cNvSpPr txBox="1"/>
      </xdr:nvSpPr>
      <xdr:spPr>
        <a:xfrm>
          <a:off x="11924571" y="12462921"/>
          <a:ext cx="304872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600">
            <a:solidFill>
              <a:srgbClr val="F4F6F9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216810</xdr:colOff>
      <xdr:row>10</xdr:row>
      <xdr:rowOff>117433</xdr:rowOff>
    </xdr:from>
    <xdr:to>
      <xdr:col>8</xdr:col>
      <xdr:colOff>221815</xdr:colOff>
      <xdr:row>13</xdr:row>
      <xdr:rowOff>39144</xdr:rowOff>
    </xdr:to>
    <xdr:sp macro="" textlink="cy_profit">
      <xdr:nvSpPr>
        <xdr:cNvPr id="77" name="TextBox 76">
          <a:extLst>
            <a:ext uri="{FF2B5EF4-FFF2-40B4-BE49-F238E27FC236}">
              <a16:creationId xmlns:a16="http://schemas.microsoft.com/office/drawing/2014/main" id="{4205BE46-7B5D-4395-8DAC-6B3963286A27}"/>
            </a:ext>
          </a:extLst>
        </xdr:cNvPr>
        <xdr:cNvSpPr txBox="1"/>
      </xdr:nvSpPr>
      <xdr:spPr>
        <a:xfrm>
          <a:off x="3896331" y="2074625"/>
          <a:ext cx="1231511" cy="508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CB111E4-69D1-4207-BA78-3FE97A86E788}" type="TxLink">
            <a:rPr lang="en-US" sz="2400" b="1" i="0" u="none" strike="noStrike">
              <a:solidFill>
                <a:srgbClr val="F4F6F9"/>
              </a:solidFill>
              <a:latin typeface="Aptos Narrow"/>
              <a:cs typeface="Segoe UI" panose="020B0502040204020203" pitchFamily="34" charset="0"/>
            </a:rPr>
            <a:pPr/>
            <a:t>$411.6K</a:t>
          </a:fld>
          <a:endParaRPr lang="en-US" sz="2400" b="1" i="0" u="none" strike="noStrike">
            <a:solidFill>
              <a:srgbClr val="F4F6F9"/>
            </a:solidFill>
            <a:latin typeface="Aptos Narrow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15658</xdr:colOff>
      <xdr:row>21</xdr:row>
      <xdr:rowOff>23176</xdr:rowOff>
    </xdr:from>
    <xdr:to>
      <xdr:col>18</xdr:col>
      <xdr:colOff>53759</xdr:colOff>
      <xdr:row>23</xdr:row>
      <xdr:rowOff>39146</xdr:rowOff>
    </xdr:to>
    <xdr:sp macro="" textlink="total_sales">
      <xdr:nvSpPr>
        <xdr:cNvPr id="79" name="TextBox 78">
          <a:extLst>
            <a:ext uri="{FF2B5EF4-FFF2-40B4-BE49-F238E27FC236}">
              <a16:creationId xmlns:a16="http://schemas.microsoft.com/office/drawing/2014/main" id="{0A679EFA-1F58-41AB-87E3-6B06514860AF}"/>
            </a:ext>
          </a:extLst>
        </xdr:cNvPr>
        <xdr:cNvSpPr txBox="1"/>
      </xdr:nvSpPr>
      <xdr:spPr>
        <a:xfrm>
          <a:off x="9827713" y="4133279"/>
          <a:ext cx="1264608" cy="407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703F9E9-5F1A-4AA4-9835-7B06F7527C01}" type="TxLink">
            <a:rPr lang="en-US" sz="2000" b="0" i="0" u="none" strike="noStrike">
              <a:solidFill>
                <a:srgbClr val="AAE6FF"/>
              </a:solidFill>
              <a:latin typeface="Aptos Narrow"/>
              <a:cs typeface="Segoe UI" panose="020B0502040204020203" pitchFamily="34" charset="0"/>
            </a:rPr>
            <a:pPr/>
            <a:t>$841.2K</a:t>
          </a:fld>
          <a:endParaRPr lang="en-GB" sz="2000" b="0">
            <a:solidFill>
              <a:srgbClr val="AAE6FF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177264</xdr:colOff>
      <xdr:row>41</xdr:row>
      <xdr:rowOff>111097</xdr:rowOff>
    </xdr:from>
    <xdr:to>
      <xdr:col>17</xdr:col>
      <xdr:colOff>548014</xdr:colOff>
      <xdr:row>43</xdr:row>
      <xdr:rowOff>169624</xdr:rowOff>
    </xdr:to>
    <xdr:sp macro="" textlink="total_quantity">
      <xdr:nvSpPr>
        <xdr:cNvPr id="80" name="TextBox 79">
          <a:extLst>
            <a:ext uri="{FF2B5EF4-FFF2-40B4-BE49-F238E27FC236}">
              <a16:creationId xmlns:a16="http://schemas.microsoft.com/office/drawing/2014/main" id="{8239D7AF-4A4D-4325-A3BC-296D999A1DDE}"/>
            </a:ext>
          </a:extLst>
        </xdr:cNvPr>
        <xdr:cNvSpPr txBox="1"/>
      </xdr:nvSpPr>
      <xdr:spPr>
        <a:xfrm>
          <a:off x="9989319" y="8135583"/>
          <a:ext cx="984003" cy="449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3D11E07-855F-4231-BD77-725BFAF23ED2}" type="TxLink">
            <a:rPr lang="en-US" sz="2000" b="0" i="0" u="none" strike="noStrike">
              <a:solidFill>
                <a:srgbClr val="AAE6FF"/>
              </a:solidFill>
              <a:latin typeface="Aptos Narrow"/>
              <a:cs typeface="Segoe UI" panose="020B0502040204020203" pitchFamily="34" charset="0"/>
            </a:rPr>
            <a:pPr/>
            <a:t>1623</a:t>
          </a:fld>
          <a:endParaRPr lang="en-GB" sz="2000">
            <a:solidFill>
              <a:srgbClr val="AAE6FF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203764</xdr:colOff>
      <xdr:row>13</xdr:row>
      <xdr:rowOff>152632</xdr:rowOff>
    </xdr:from>
    <xdr:to>
      <xdr:col>8</xdr:col>
      <xdr:colOff>326200</xdr:colOff>
      <xdr:row>16</xdr:row>
      <xdr:rowOff>13049</xdr:rowOff>
    </xdr:to>
    <xdr:sp macro="" textlink="YoY_profit">
      <xdr:nvSpPr>
        <xdr:cNvPr id="82" name="TextBox 81">
          <a:extLst>
            <a:ext uri="{FF2B5EF4-FFF2-40B4-BE49-F238E27FC236}">
              <a16:creationId xmlns:a16="http://schemas.microsoft.com/office/drawing/2014/main" id="{FA3691DE-9F9D-4F21-B5B3-7730CA80644D}"/>
            </a:ext>
          </a:extLst>
        </xdr:cNvPr>
        <xdr:cNvSpPr txBox="1"/>
      </xdr:nvSpPr>
      <xdr:spPr>
        <a:xfrm>
          <a:off x="3883285" y="2696981"/>
          <a:ext cx="1348942" cy="447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44F3A62-8141-4C77-980E-A0735B389D78}" type="TxLink">
            <a:rPr lang="en-US" sz="1400" b="0" i="0" u="none" strike="noStrike">
              <a:solidFill>
                <a:srgbClr val="AAE6FF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pPr/>
            <a:t>▲33.60% vs LY</a:t>
          </a:fld>
          <a:endParaRPr lang="en-GB" sz="1400" b="0">
            <a:solidFill>
              <a:srgbClr val="AAE6FF"/>
            </a:solidFill>
            <a:latin typeface="+mn-lt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428027</xdr:colOff>
      <xdr:row>13</xdr:row>
      <xdr:rowOff>180521</xdr:rowOff>
    </xdr:from>
    <xdr:to>
      <xdr:col>14</xdr:col>
      <xdr:colOff>561062</xdr:colOff>
      <xdr:row>16</xdr:row>
      <xdr:rowOff>3627</xdr:rowOff>
    </xdr:to>
    <xdr:sp macro="" textlink="YoY_sales">
      <xdr:nvSpPr>
        <xdr:cNvPr id="83" name="TextBox 82">
          <a:extLst>
            <a:ext uri="{FF2B5EF4-FFF2-40B4-BE49-F238E27FC236}">
              <a16:creationId xmlns:a16="http://schemas.microsoft.com/office/drawing/2014/main" id="{729EA06A-C25F-4967-9149-638D9D013C4B}"/>
            </a:ext>
          </a:extLst>
        </xdr:cNvPr>
        <xdr:cNvSpPr txBox="1"/>
      </xdr:nvSpPr>
      <xdr:spPr>
        <a:xfrm>
          <a:off x="7787068" y="2724870"/>
          <a:ext cx="1359542" cy="410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A7603BB-7B6A-4331-AD27-A150CDC4DFB9}" type="TxLink">
            <a:rPr lang="en-US" sz="1400" b="0" i="0" u="none" strike="noStrike">
              <a:solidFill>
                <a:srgbClr val="AAE6FF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pPr/>
            <a:t>▲30.07% vs LY</a:t>
          </a:fld>
          <a:endParaRPr lang="en-GB" sz="1400" b="0">
            <a:solidFill>
              <a:srgbClr val="AAE6FF"/>
            </a:solidFill>
            <a:latin typeface="+mn-lt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523696</xdr:colOff>
      <xdr:row>33</xdr:row>
      <xdr:rowOff>189940</xdr:rowOff>
    </xdr:from>
    <xdr:to>
      <xdr:col>15</xdr:col>
      <xdr:colOff>52192</xdr:colOff>
      <xdr:row>35</xdr:row>
      <xdr:rowOff>169623</xdr:rowOff>
    </xdr:to>
    <xdr:sp macro="" textlink="YOY_quantity">
      <xdr:nvSpPr>
        <xdr:cNvPr id="84" name="TextBox 83">
          <a:extLst>
            <a:ext uri="{FF2B5EF4-FFF2-40B4-BE49-F238E27FC236}">
              <a16:creationId xmlns:a16="http://schemas.microsoft.com/office/drawing/2014/main" id="{2A391E5C-51C2-4278-AD84-9F74AF9A09C0}"/>
            </a:ext>
          </a:extLst>
        </xdr:cNvPr>
        <xdr:cNvSpPr txBox="1"/>
      </xdr:nvSpPr>
      <xdr:spPr>
        <a:xfrm>
          <a:off x="7882737" y="6648673"/>
          <a:ext cx="1368256" cy="371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4838E92-7A1D-4CD9-B7C6-C69467DDBD50}" type="TxLink">
            <a:rPr lang="en-US" sz="1400" b="0" i="0" u="none" strike="noStrike">
              <a:solidFill>
                <a:srgbClr val="AAE6FF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pPr/>
            <a:t>▲24.17% vs LY</a:t>
          </a:fld>
          <a:endParaRPr lang="en-GB" sz="1400" b="0">
            <a:solidFill>
              <a:srgbClr val="AAE6FF"/>
            </a:solidFill>
            <a:latin typeface="+mn-lt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14</xdr:col>
      <xdr:colOff>523483</xdr:colOff>
      <xdr:row>10</xdr:row>
      <xdr:rowOff>11655</xdr:rowOff>
    </xdr:from>
    <xdr:to>
      <xdr:col>17</xdr:col>
      <xdr:colOff>535433</xdr:colOff>
      <xdr:row>18</xdr:row>
      <xdr:rowOff>181975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70BBDE32-964F-4456-A3C4-FA291C6D8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521916</xdr:colOff>
      <xdr:row>30</xdr:row>
      <xdr:rowOff>41940</xdr:rowOff>
    </xdr:from>
    <xdr:to>
      <xdr:col>18</xdr:col>
      <xdr:colOff>65238</xdr:colOff>
      <xdr:row>38</xdr:row>
      <xdr:rowOff>187765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9E17B9F3-EE08-462F-9095-1C230E518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171465</xdr:colOff>
      <xdr:row>10</xdr:row>
      <xdr:rowOff>91334</xdr:rowOff>
    </xdr:from>
    <xdr:to>
      <xdr:col>11</xdr:col>
      <xdr:colOff>210071</xdr:colOff>
      <xdr:row>18</xdr:row>
      <xdr:rowOff>52190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DC70CF8E-2128-402F-AF92-087F1CD69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185055</xdr:colOff>
      <xdr:row>9</xdr:row>
      <xdr:rowOff>13607</xdr:rowOff>
    </xdr:from>
    <xdr:to>
      <xdr:col>34</xdr:col>
      <xdr:colOff>572226</xdr:colOff>
      <xdr:row>23</xdr:row>
      <xdr:rowOff>149679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D843E780-122B-43F6-AF88-36B763588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185055</xdr:colOff>
      <xdr:row>87</xdr:row>
      <xdr:rowOff>0</xdr:rowOff>
    </xdr:from>
    <xdr:to>
      <xdr:col>34</xdr:col>
      <xdr:colOff>466089</xdr:colOff>
      <xdr:row>101</xdr:row>
      <xdr:rowOff>138793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AFBDCAB2-EDE5-4468-A02D-F9C1B0B1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494978</xdr:colOff>
      <xdr:row>30</xdr:row>
      <xdr:rowOff>152400</xdr:rowOff>
    </xdr:from>
    <xdr:to>
      <xdr:col>34</xdr:col>
      <xdr:colOff>0</xdr:colOff>
      <xdr:row>44</xdr:row>
      <xdr:rowOff>167249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2C25474C-C773-437D-B4C8-BCCC47310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37</xdr:col>
      <xdr:colOff>0</xdr:colOff>
      <xdr:row>6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B1F0B9D-7190-D139-E6A3-50921CC2623F}"/>
            </a:ext>
          </a:extLst>
        </xdr:cNvPr>
        <xdr:cNvSpPr txBox="1"/>
      </xdr:nvSpPr>
      <xdr:spPr>
        <a:xfrm>
          <a:off x="22555200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 editAs="oneCell">
    <xdr:from>
      <xdr:col>32</xdr:col>
      <xdr:colOff>258943</xdr:colOff>
      <xdr:row>85</xdr:row>
      <xdr:rowOff>0</xdr:rowOff>
    </xdr:from>
    <xdr:to>
      <xdr:col>34</xdr:col>
      <xdr:colOff>503461</xdr:colOff>
      <xdr:row>89</xdr:row>
      <xdr:rowOff>158797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0" name="Date">
              <a:extLst>
                <a:ext uri="{FF2B5EF4-FFF2-40B4-BE49-F238E27FC236}">
                  <a16:creationId xmlns:a16="http://schemas.microsoft.com/office/drawing/2014/main" id="{0546E99B-7074-4599-BEE6-4516B485A9A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06385" y="16945640"/>
              <a:ext cx="1484983" cy="956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6</xdr:col>
      <xdr:colOff>241303</xdr:colOff>
      <xdr:row>67</xdr:row>
      <xdr:rowOff>80421</xdr:rowOff>
    </xdr:from>
    <xdr:to>
      <xdr:col>12</xdr:col>
      <xdr:colOff>153750</xdr:colOff>
      <xdr:row>77</xdr:row>
      <xdr:rowOff>0</xdr:rowOff>
    </xdr:to>
    <xdr:graphicFrame macro="">
      <xdr:nvGraphicFramePr>
        <xdr:cNvPr id="104" name="Chart 103">
          <a:extLst>
            <a:ext uri="{FF2B5EF4-FFF2-40B4-BE49-F238E27FC236}">
              <a16:creationId xmlns:a16="http://schemas.microsoft.com/office/drawing/2014/main" id="{EAE9CD75-DDE6-4778-A422-387AAA775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153750</xdr:colOff>
      <xdr:row>67</xdr:row>
      <xdr:rowOff>80421</xdr:rowOff>
    </xdr:from>
    <xdr:to>
      <xdr:col>18</xdr:col>
      <xdr:colOff>0</xdr:colOff>
      <xdr:row>77</xdr:row>
      <xdr:rowOff>80422</xdr:rowOff>
    </xdr:to>
    <xdr:graphicFrame macro="">
      <xdr:nvGraphicFramePr>
        <xdr:cNvPr id="105" name="Chart 104">
          <a:extLst>
            <a:ext uri="{FF2B5EF4-FFF2-40B4-BE49-F238E27FC236}">
              <a16:creationId xmlns:a16="http://schemas.microsoft.com/office/drawing/2014/main" id="{E02B004B-BEE5-40A2-AE40-8BB8EAC01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454477</xdr:colOff>
      <xdr:row>83</xdr:row>
      <xdr:rowOff>1</xdr:rowOff>
    </xdr:from>
    <xdr:to>
      <xdr:col>17</xdr:col>
      <xdr:colOff>231679</xdr:colOff>
      <xdr:row>101</xdr:row>
      <xdr:rowOff>0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472AD454-DD08-45F8-8CC0-2B1A42112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241412</xdr:colOff>
      <xdr:row>67</xdr:row>
      <xdr:rowOff>80421</xdr:rowOff>
    </xdr:from>
    <xdr:to>
      <xdr:col>34</xdr:col>
      <xdr:colOff>588486</xdr:colOff>
      <xdr:row>81</xdr:row>
      <xdr:rowOff>92528</xdr:rowOff>
    </xdr:to>
    <xdr:graphicFrame macro="">
      <xdr:nvGraphicFramePr>
        <xdr:cNvPr id="107" name="Chart 106">
          <a:extLst>
            <a:ext uri="{FF2B5EF4-FFF2-40B4-BE49-F238E27FC236}">
              <a16:creationId xmlns:a16="http://schemas.microsoft.com/office/drawing/2014/main" id="{DDC5027B-3502-4480-9A06-95F91037A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129764</xdr:colOff>
      <xdr:row>26</xdr:row>
      <xdr:rowOff>185894</xdr:rowOff>
    </xdr:from>
    <xdr:to>
      <xdr:col>11</xdr:col>
      <xdr:colOff>441777</xdr:colOff>
      <xdr:row>45</xdr:row>
      <xdr:rowOff>1500</xdr:rowOff>
    </xdr:to>
    <xdr:sp macro="" textlink="">
      <xdr:nvSpPr>
        <xdr:cNvPr id="108" name="Rectangle: Rounded Corners 107">
          <a:extLst>
            <a:ext uri="{FF2B5EF4-FFF2-40B4-BE49-F238E27FC236}">
              <a16:creationId xmlns:a16="http://schemas.microsoft.com/office/drawing/2014/main" id="{41330AB6-8401-4263-9E3F-48279ADDE06F}"/>
            </a:ext>
          </a:extLst>
        </xdr:cNvPr>
        <xdr:cNvSpPr/>
      </xdr:nvSpPr>
      <xdr:spPr>
        <a:xfrm>
          <a:off x="3809285" y="5274593"/>
          <a:ext cx="3378280" cy="3534270"/>
        </a:xfrm>
        <a:prstGeom prst="roundRect">
          <a:avLst>
            <a:gd name="adj" fmla="val 6197"/>
          </a:avLst>
        </a:prstGeom>
        <a:solidFill>
          <a:srgbClr val="34394E"/>
        </a:solidFill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</a:t>
          </a:r>
        </a:p>
      </xdr:txBody>
    </xdr:sp>
    <xdr:clientData/>
  </xdr:twoCellAnchor>
  <xdr:twoCellAnchor>
    <xdr:from>
      <xdr:col>6</xdr:col>
      <xdr:colOff>324179</xdr:colOff>
      <xdr:row>27</xdr:row>
      <xdr:rowOff>176336</xdr:rowOff>
    </xdr:from>
    <xdr:to>
      <xdr:col>7</xdr:col>
      <xdr:colOff>561062</xdr:colOff>
      <xdr:row>30</xdr:row>
      <xdr:rowOff>1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27532DF-3079-445C-8D47-22DCC06B8BDB}"/>
            </a:ext>
          </a:extLst>
        </xdr:cNvPr>
        <xdr:cNvSpPr txBox="1"/>
      </xdr:nvSpPr>
      <xdr:spPr>
        <a:xfrm>
          <a:off x="4003700" y="5460754"/>
          <a:ext cx="850136" cy="410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>
              <a:solidFill>
                <a:srgbClr val="F4F6F9"/>
              </a:solidFill>
              <a:latin typeface="+mn-lt"/>
            </a:rPr>
            <a:t>Cost</a:t>
          </a:r>
        </a:p>
      </xdr:txBody>
    </xdr:sp>
    <xdr:clientData/>
  </xdr:twoCellAnchor>
  <xdr:twoCellAnchor>
    <xdr:from>
      <xdr:col>8</xdr:col>
      <xdr:colOff>128373</xdr:colOff>
      <xdr:row>29</xdr:row>
      <xdr:rowOff>69154</xdr:rowOff>
    </xdr:from>
    <xdr:to>
      <xdr:col>11</xdr:col>
      <xdr:colOff>321594</xdr:colOff>
      <xdr:row>39</xdr:row>
      <xdr:rowOff>13047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F52AED9A-B14B-445A-A28E-77A888EB5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90620</xdr:colOff>
      <xdr:row>34</xdr:row>
      <xdr:rowOff>10210</xdr:rowOff>
    </xdr:from>
    <xdr:to>
      <xdr:col>8</xdr:col>
      <xdr:colOff>260959</xdr:colOff>
      <xdr:row>35</xdr:row>
      <xdr:rowOff>130481</xdr:rowOff>
    </xdr:to>
    <xdr:sp macro="" textlink="YoY_cost">
      <xdr:nvSpPr>
        <xdr:cNvPr id="113" name="TextBox 112">
          <a:extLst>
            <a:ext uri="{FF2B5EF4-FFF2-40B4-BE49-F238E27FC236}">
              <a16:creationId xmlns:a16="http://schemas.microsoft.com/office/drawing/2014/main" id="{F428493C-A5EF-41CB-B72E-1CCDC1566153}"/>
            </a:ext>
          </a:extLst>
        </xdr:cNvPr>
        <xdr:cNvSpPr txBox="1"/>
      </xdr:nvSpPr>
      <xdr:spPr>
        <a:xfrm>
          <a:off x="3770141" y="6664662"/>
          <a:ext cx="1396845" cy="315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5892B4B-B7A2-4F0A-8F46-8ABB515303E8}" type="TxLink">
            <a:rPr lang="en-US" sz="1400" b="0" i="0" u="none" strike="noStrike">
              <a:solidFill>
                <a:srgbClr val="AAE6FF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rPr>
            <a:pPr/>
            <a:t>▲11.19% vs LY</a:t>
          </a:fld>
          <a:endParaRPr lang="en-GB" sz="1400" b="0">
            <a:solidFill>
              <a:srgbClr val="AAE6FF"/>
            </a:solidFill>
            <a:latin typeface="+mn-lt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233801</xdr:colOff>
      <xdr:row>41</xdr:row>
      <xdr:rowOff>109416</xdr:rowOff>
    </xdr:from>
    <xdr:to>
      <xdr:col>11</xdr:col>
      <xdr:colOff>271901</xdr:colOff>
      <xdr:row>43</xdr:row>
      <xdr:rowOff>182671</xdr:rowOff>
    </xdr:to>
    <xdr:sp macro="" textlink="total_cost">
      <xdr:nvSpPr>
        <xdr:cNvPr id="114" name="TextBox 113">
          <a:extLst>
            <a:ext uri="{FF2B5EF4-FFF2-40B4-BE49-F238E27FC236}">
              <a16:creationId xmlns:a16="http://schemas.microsoft.com/office/drawing/2014/main" id="{A23150FA-05B3-47BE-9BC5-6179C8F7F972}"/>
            </a:ext>
          </a:extLst>
        </xdr:cNvPr>
        <xdr:cNvSpPr txBox="1"/>
      </xdr:nvSpPr>
      <xdr:spPr>
        <a:xfrm>
          <a:off x="5753082" y="8133902"/>
          <a:ext cx="1264607" cy="464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2BB2F1-8B60-410C-913B-7D3706E63AB4}" type="TxLink">
            <a:rPr lang="en-US" sz="2000" b="0" i="0" u="none" strike="noStrike">
              <a:solidFill>
                <a:srgbClr val="AAE6FF"/>
              </a:solidFill>
              <a:latin typeface="Aptos Narrow"/>
              <a:cs typeface="Segoe UI" panose="020B0502040204020203" pitchFamily="34" charset="0"/>
            </a:rPr>
            <a:pPr/>
            <a:t>$121.5K</a:t>
          </a:fld>
          <a:endParaRPr lang="en-GB" sz="2000" b="0">
            <a:solidFill>
              <a:srgbClr val="AAE6FF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314659</xdr:colOff>
      <xdr:row>21</xdr:row>
      <xdr:rowOff>59461</xdr:rowOff>
    </xdr:from>
    <xdr:to>
      <xdr:col>11</xdr:col>
      <xdr:colOff>260958</xdr:colOff>
      <xdr:row>23</xdr:row>
      <xdr:rowOff>59461</xdr:rowOff>
    </xdr:to>
    <xdr:sp macro="" textlink="total_profit">
      <xdr:nvSpPr>
        <xdr:cNvPr id="115" name="TextBox 114">
          <a:extLst>
            <a:ext uri="{FF2B5EF4-FFF2-40B4-BE49-F238E27FC236}">
              <a16:creationId xmlns:a16="http://schemas.microsoft.com/office/drawing/2014/main" id="{ACD57575-521D-7340-2DEA-4AA50ADC22AE}"/>
            </a:ext>
          </a:extLst>
        </xdr:cNvPr>
        <xdr:cNvSpPr txBox="1"/>
      </xdr:nvSpPr>
      <xdr:spPr>
        <a:xfrm>
          <a:off x="5833940" y="4169564"/>
          <a:ext cx="1172806" cy="391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6127DC-39AE-4D05-AA77-01A6D0F049B8}" type="TxLink">
            <a:rPr lang="en-US" sz="2000" b="0" i="0" u="none" strike="noStrike">
              <a:solidFill>
                <a:srgbClr val="AAE6FF"/>
              </a:solidFill>
              <a:latin typeface="Aptos Narrow"/>
            </a:rPr>
            <a:pPr/>
            <a:t>$719.7K</a:t>
          </a:fld>
          <a:endParaRPr lang="en-GB" sz="2000">
            <a:solidFill>
              <a:srgbClr val="AAE6FF"/>
            </a:solidFill>
          </a:endParaRPr>
        </a:p>
      </xdr:txBody>
    </xdr:sp>
    <xdr:clientData/>
  </xdr:twoCellAnchor>
  <xdr:twoCellAnchor>
    <xdr:from>
      <xdr:col>9</xdr:col>
      <xdr:colOff>110825</xdr:colOff>
      <xdr:row>19</xdr:row>
      <xdr:rowOff>91338</xdr:rowOff>
    </xdr:from>
    <xdr:to>
      <xdr:col>11</xdr:col>
      <xdr:colOff>268669</xdr:colOff>
      <xdr:row>21</xdr:row>
      <xdr:rowOff>39145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860A2E5-32E4-48BE-2CA1-07480E329E5E}"/>
            </a:ext>
          </a:extLst>
        </xdr:cNvPr>
        <xdr:cNvSpPr txBox="1"/>
      </xdr:nvSpPr>
      <xdr:spPr>
        <a:xfrm>
          <a:off x="5630106" y="3810002"/>
          <a:ext cx="1384351" cy="339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>
              <a:solidFill>
                <a:srgbClr val="F4F6F9"/>
              </a:solidFill>
            </a:rPr>
            <a:t>Total</a:t>
          </a:r>
          <a:r>
            <a:rPr lang="en-GB" sz="1400" baseline="0">
              <a:solidFill>
                <a:srgbClr val="F4F6F9"/>
              </a:solidFill>
            </a:rPr>
            <a:t> to Date </a:t>
          </a:r>
          <a:endParaRPr lang="en-GB" sz="1400">
            <a:solidFill>
              <a:srgbClr val="F4F6F9"/>
            </a:solidFill>
          </a:endParaRPr>
        </a:p>
      </xdr:txBody>
    </xdr:sp>
    <xdr:clientData/>
  </xdr:twoCellAnchor>
  <xdr:twoCellAnchor>
    <xdr:from>
      <xdr:col>6</xdr:col>
      <xdr:colOff>352295</xdr:colOff>
      <xdr:row>18</xdr:row>
      <xdr:rowOff>130479</xdr:rowOff>
    </xdr:from>
    <xdr:to>
      <xdr:col>11</xdr:col>
      <xdr:colOff>169623</xdr:colOff>
      <xdr:row>18</xdr:row>
      <xdr:rowOff>143527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FCC72E8-EE85-CF61-BBD9-077C7442188E}"/>
            </a:ext>
          </a:extLst>
        </xdr:cNvPr>
        <xdr:cNvCxnSpPr/>
      </xdr:nvCxnSpPr>
      <xdr:spPr>
        <a:xfrm flipV="1">
          <a:off x="4031816" y="3653424"/>
          <a:ext cx="2883595" cy="13048"/>
        </a:xfrm>
        <a:prstGeom prst="line">
          <a:avLst/>
        </a:prstGeom>
        <a:ln>
          <a:solidFill>
            <a:srgbClr val="F4F6F9">
              <a:alpha val="40000"/>
            </a:srgbClr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508870</xdr:colOff>
      <xdr:row>21</xdr:row>
      <xdr:rowOff>68759</xdr:rowOff>
    </xdr:from>
    <xdr:to>
      <xdr:col>9</xdr:col>
      <xdr:colOff>104384</xdr:colOff>
      <xdr:row>23</xdr:row>
      <xdr:rowOff>13046</xdr:rowOff>
    </xdr:to>
    <xdr:sp macro="" textlink="ly_profit">
      <xdr:nvSpPr>
        <xdr:cNvPr id="5" name="Rectangle: Rounded Corners 4">
          <a:extLst>
            <a:ext uri="{FF2B5EF4-FFF2-40B4-BE49-F238E27FC236}">
              <a16:creationId xmlns:a16="http://schemas.microsoft.com/office/drawing/2014/main" id="{CE524D45-FCED-E94D-9F28-71A43B2DEE6C}"/>
            </a:ext>
          </a:extLst>
        </xdr:cNvPr>
        <xdr:cNvSpPr/>
      </xdr:nvSpPr>
      <xdr:spPr>
        <a:xfrm>
          <a:off x="4188391" y="4178862"/>
          <a:ext cx="1435274" cy="335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1170E61-36D3-4CB4-AA8E-E91729B343A4}" type="TxLink">
            <a:rPr lang="en-US" sz="1800" b="0" i="0" u="none" strike="noStrike">
              <a:solidFill>
                <a:srgbClr val="AAE6FF"/>
              </a:solidFill>
              <a:latin typeface="Aptos Narrow"/>
            </a:rPr>
            <a:pPr algn="l"/>
            <a:t>$308.1K</a:t>
          </a:fld>
          <a:endParaRPr lang="en-GB" sz="1800">
            <a:solidFill>
              <a:srgbClr val="AAE6FF"/>
            </a:solidFill>
          </a:endParaRPr>
        </a:p>
      </xdr:txBody>
    </xdr:sp>
    <xdr:clientData/>
  </xdr:twoCellAnchor>
  <xdr:twoCellAnchor>
    <xdr:from>
      <xdr:col>6</xdr:col>
      <xdr:colOff>287054</xdr:colOff>
      <xdr:row>19</xdr:row>
      <xdr:rowOff>91337</xdr:rowOff>
    </xdr:from>
    <xdr:to>
      <xdr:col>9</xdr:col>
      <xdr:colOff>26095</xdr:colOff>
      <xdr:row>21</xdr:row>
      <xdr:rowOff>65239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4738376-0174-A615-E770-25ABC03B5125}"/>
            </a:ext>
          </a:extLst>
        </xdr:cNvPr>
        <xdr:cNvSpPr/>
      </xdr:nvSpPr>
      <xdr:spPr>
        <a:xfrm>
          <a:off x="3966575" y="3810001"/>
          <a:ext cx="1578801" cy="3653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/>
            <a:t>Previous Year</a:t>
          </a:r>
          <a:r>
            <a:rPr lang="en-GB" sz="1400" baseline="0"/>
            <a:t> </a:t>
          </a:r>
          <a:endParaRPr lang="en-GB" sz="1400"/>
        </a:p>
      </xdr:txBody>
    </xdr:sp>
    <xdr:clientData/>
  </xdr:twoCellAnchor>
  <xdr:twoCellAnchor>
    <xdr:from>
      <xdr:col>13</xdr:col>
      <xdr:colOff>26095</xdr:colOff>
      <xdr:row>18</xdr:row>
      <xdr:rowOff>169626</xdr:rowOff>
    </xdr:from>
    <xdr:to>
      <xdr:col>17</xdr:col>
      <xdr:colOff>456677</xdr:colOff>
      <xdr:row>18</xdr:row>
      <xdr:rowOff>182674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3FC1634-1801-450C-A527-A6CD6A5BE455}"/>
            </a:ext>
          </a:extLst>
        </xdr:cNvPr>
        <xdr:cNvCxnSpPr/>
      </xdr:nvCxnSpPr>
      <xdr:spPr>
        <a:xfrm flipV="1">
          <a:off x="7998390" y="3692571"/>
          <a:ext cx="2883595" cy="13048"/>
        </a:xfrm>
        <a:prstGeom prst="line">
          <a:avLst/>
        </a:prstGeom>
        <a:ln>
          <a:solidFill>
            <a:srgbClr val="F4F6F9">
              <a:alpha val="40000"/>
            </a:srgbClr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359035</xdr:colOff>
      <xdr:row>39</xdr:row>
      <xdr:rowOff>42799</xdr:rowOff>
    </xdr:from>
    <xdr:to>
      <xdr:col>11</xdr:col>
      <xdr:colOff>176363</xdr:colOff>
      <xdr:row>39</xdr:row>
      <xdr:rowOff>55847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54DC274-33D3-43AE-92F8-376758697C12}"/>
            </a:ext>
          </a:extLst>
        </xdr:cNvPr>
        <xdr:cNvCxnSpPr/>
      </xdr:nvCxnSpPr>
      <xdr:spPr>
        <a:xfrm flipV="1">
          <a:off x="4038556" y="7675847"/>
          <a:ext cx="2883595" cy="13048"/>
        </a:xfrm>
        <a:prstGeom prst="line">
          <a:avLst/>
        </a:prstGeom>
        <a:ln>
          <a:solidFill>
            <a:srgbClr val="F4F6F9">
              <a:alpha val="40000"/>
            </a:srgbClr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67805</xdr:colOff>
      <xdr:row>39</xdr:row>
      <xdr:rowOff>38623</xdr:rowOff>
    </xdr:from>
    <xdr:to>
      <xdr:col>17</xdr:col>
      <xdr:colOff>498387</xdr:colOff>
      <xdr:row>39</xdr:row>
      <xdr:rowOff>51671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EC1097B-2244-4112-B28C-8882DA3E8B71}"/>
            </a:ext>
          </a:extLst>
        </xdr:cNvPr>
        <xdr:cNvCxnSpPr/>
      </xdr:nvCxnSpPr>
      <xdr:spPr>
        <a:xfrm flipV="1">
          <a:off x="8040100" y="7671671"/>
          <a:ext cx="2883595" cy="13048"/>
        </a:xfrm>
        <a:prstGeom prst="line">
          <a:avLst/>
        </a:prstGeom>
        <a:ln>
          <a:solidFill>
            <a:srgbClr val="F4F6F9">
              <a:alpha val="40000"/>
            </a:srgbClr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103669</xdr:colOff>
      <xdr:row>39</xdr:row>
      <xdr:rowOff>185895</xdr:rowOff>
    </xdr:from>
    <xdr:to>
      <xdr:col>11</xdr:col>
      <xdr:colOff>261513</xdr:colOff>
      <xdr:row>41</xdr:row>
      <xdr:rowOff>143228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80C7AC5-43E5-456F-A303-871AC320BC5B}"/>
            </a:ext>
          </a:extLst>
        </xdr:cNvPr>
        <xdr:cNvSpPr txBox="1"/>
      </xdr:nvSpPr>
      <xdr:spPr>
        <a:xfrm>
          <a:off x="5622950" y="7818943"/>
          <a:ext cx="1384351" cy="348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>
              <a:solidFill>
                <a:srgbClr val="F4F6F9"/>
              </a:solidFill>
            </a:rPr>
            <a:t>Total</a:t>
          </a:r>
          <a:r>
            <a:rPr lang="en-GB" sz="1400" baseline="0">
              <a:solidFill>
                <a:srgbClr val="F4F6F9"/>
              </a:solidFill>
            </a:rPr>
            <a:t> to Date </a:t>
          </a:r>
          <a:endParaRPr lang="en-GB" sz="1400">
            <a:solidFill>
              <a:srgbClr val="F4F6F9"/>
            </a:solidFill>
          </a:endParaRPr>
        </a:p>
      </xdr:txBody>
    </xdr:sp>
    <xdr:clientData/>
  </xdr:twoCellAnchor>
  <xdr:twoCellAnchor>
    <xdr:from>
      <xdr:col>15</xdr:col>
      <xdr:colOff>484553</xdr:colOff>
      <xdr:row>40</xdr:row>
      <xdr:rowOff>2</xdr:rowOff>
    </xdr:from>
    <xdr:to>
      <xdr:col>18</xdr:col>
      <xdr:colOff>29143</xdr:colOff>
      <xdr:row>41</xdr:row>
      <xdr:rowOff>153054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E74DFCB-3BD3-4E85-96E2-93743B87D395}"/>
            </a:ext>
          </a:extLst>
        </xdr:cNvPr>
        <xdr:cNvSpPr txBox="1"/>
      </xdr:nvSpPr>
      <xdr:spPr>
        <a:xfrm>
          <a:off x="9683354" y="7828769"/>
          <a:ext cx="1384351" cy="348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>
              <a:solidFill>
                <a:srgbClr val="F4F6F9"/>
              </a:solidFill>
            </a:rPr>
            <a:t>Total</a:t>
          </a:r>
          <a:r>
            <a:rPr lang="en-GB" sz="1400" baseline="0">
              <a:solidFill>
                <a:srgbClr val="F4F6F9"/>
              </a:solidFill>
            </a:rPr>
            <a:t> to Date </a:t>
          </a:r>
          <a:endParaRPr lang="en-GB" sz="1400">
            <a:solidFill>
              <a:srgbClr val="F4F6F9"/>
            </a:solidFill>
          </a:endParaRPr>
        </a:p>
      </xdr:txBody>
    </xdr:sp>
    <xdr:clientData/>
  </xdr:twoCellAnchor>
  <xdr:twoCellAnchor>
    <xdr:from>
      <xdr:col>15</xdr:col>
      <xdr:colOff>442590</xdr:colOff>
      <xdr:row>19</xdr:row>
      <xdr:rowOff>94505</xdr:rowOff>
    </xdr:from>
    <xdr:to>
      <xdr:col>17</xdr:col>
      <xdr:colOff>600434</xdr:colOff>
      <xdr:row>21</xdr:row>
      <xdr:rowOff>51837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77C6CAB-2FEC-4C86-89FC-71EAE4C314B0}"/>
            </a:ext>
          </a:extLst>
        </xdr:cNvPr>
        <xdr:cNvSpPr txBox="1"/>
      </xdr:nvSpPr>
      <xdr:spPr>
        <a:xfrm>
          <a:off x="9641391" y="3813169"/>
          <a:ext cx="1384351" cy="348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>
              <a:solidFill>
                <a:srgbClr val="F4F6F9"/>
              </a:solidFill>
            </a:rPr>
            <a:t>Total</a:t>
          </a:r>
          <a:r>
            <a:rPr lang="en-GB" sz="1400" baseline="0">
              <a:solidFill>
                <a:srgbClr val="F4F6F9"/>
              </a:solidFill>
            </a:rPr>
            <a:t> to Date </a:t>
          </a:r>
          <a:endParaRPr lang="en-GB" sz="1400">
            <a:solidFill>
              <a:srgbClr val="F4F6F9"/>
            </a:solidFill>
          </a:endParaRPr>
        </a:p>
      </xdr:txBody>
    </xdr:sp>
    <xdr:clientData/>
  </xdr:twoCellAnchor>
  <xdr:twoCellAnchor>
    <xdr:from>
      <xdr:col>6</xdr:col>
      <xdr:colOff>221100</xdr:colOff>
      <xdr:row>40</xdr:row>
      <xdr:rowOff>3224</xdr:rowOff>
    </xdr:from>
    <xdr:to>
      <xdr:col>8</xdr:col>
      <xdr:colOff>573395</xdr:colOff>
      <xdr:row>41</xdr:row>
      <xdr:rowOff>182371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D1CA3B0-9463-4AD2-9C87-6D33B7CA71C0}"/>
            </a:ext>
          </a:extLst>
        </xdr:cNvPr>
        <xdr:cNvSpPr/>
      </xdr:nvSpPr>
      <xdr:spPr>
        <a:xfrm>
          <a:off x="3900621" y="7831991"/>
          <a:ext cx="1578801" cy="3748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/>
            <a:t>Previous Year</a:t>
          </a:r>
          <a:r>
            <a:rPr lang="en-GB" sz="1400" baseline="0"/>
            <a:t> </a:t>
          </a:r>
          <a:endParaRPr lang="en-GB" sz="1400"/>
        </a:p>
      </xdr:txBody>
    </xdr:sp>
    <xdr:clientData/>
  </xdr:twoCellAnchor>
  <xdr:twoCellAnchor>
    <xdr:from>
      <xdr:col>12</xdr:col>
      <xdr:colOff>601984</xdr:colOff>
      <xdr:row>39</xdr:row>
      <xdr:rowOff>182672</xdr:rowOff>
    </xdr:from>
    <xdr:to>
      <xdr:col>15</xdr:col>
      <xdr:colOff>574110</xdr:colOff>
      <xdr:row>41</xdr:row>
      <xdr:rowOff>156575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1244F60-D5D1-499E-B220-430D572B6F53}"/>
            </a:ext>
          </a:extLst>
        </xdr:cNvPr>
        <xdr:cNvSpPr/>
      </xdr:nvSpPr>
      <xdr:spPr>
        <a:xfrm>
          <a:off x="7961025" y="7815720"/>
          <a:ext cx="1811886" cy="3653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/>
            <a:t>Previous Year</a:t>
          </a:r>
          <a:r>
            <a:rPr lang="en-GB" sz="1400" baseline="0"/>
            <a:t> </a:t>
          </a:r>
          <a:endParaRPr lang="en-GB" sz="1400"/>
        </a:p>
      </xdr:txBody>
    </xdr:sp>
    <xdr:clientData/>
  </xdr:twoCellAnchor>
  <xdr:twoCellAnchor>
    <xdr:from>
      <xdr:col>12</xdr:col>
      <xdr:colOff>546973</xdr:colOff>
      <xdr:row>19</xdr:row>
      <xdr:rowOff>81457</xdr:rowOff>
    </xdr:from>
    <xdr:to>
      <xdr:col>15</xdr:col>
      <xdr:colOff>286014</xdr:colOff>
      <xdr:row>21</xdr:row>
      <xdr:rowOff>55359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95BF918-2A6C-4F06-8955-F44DFB107D86}"/>
            </a:ext>
          </a:extLst>
        </xdr:cNvPr>
        <xdr:cNvSpPr/>
      </xdr:nvSpPr>
      <xdr:spPr>
        <a:xfrm>
          <a:off x="7906014" y="3800121"/>
          <a:ext cx="1578801" cy="3653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/>
            <a:t>Previous Year</a:t>
          </a:r>
          <a:r>
            <a:rPr lang="en-GB" sz="1400" baseline="0"/>
            <a:t> </a:t>
          </a:r>
        </a:p>
        <a:p>
          <a:pPr algn="ctr"/>
          <a:endParaRPr lang="en-GB" sz="1400"/>
        </a:p>
      </xdr:txBody>
    </xdr:sp>
    <xdr:clientData/>
  </xdr:twoCellAnchor>
  <xdr:twoCellAnchor>
    <xdr:from>
      <xdr:col>12</xdr:col>
      <xdr:colOff>453773</xdr:colOff>
      <xdr:row>10</xdr:row>
      <xdr:rowOff>117990</xdr:rowOff>
    </xdr:from>
    <xdr:to>
      <xdr:col>14</xdr:col>
      <xdr:colOff>458777</xdr:colOff>
      <xdr:row>13</xdr:row>
      <xdr:rowOff>39701</xdr:rowOff>
    </xdr:to>
    <xdr:sp macro="" textlink="cy_sales">
      <xdr:nvSpPr>
        <xdr:cNvPr id="23" name="TextBox 22">
          <a:extLst>
            <a:ext uri="{FF2B5EF4-FFF2-40B4-BE49-F238E27FC236}">
              <a16:creationId xmlns:a16="http://schemas.microsoft.com/office/drawing/2014/main" id="{96632552-97A6-41B0-BB7D-28A9CC955447}"/>
            </a:ext>
          </a:extLst>
        </xdr:cNvPr>
        <xdr:cNvSpPr txBox="1"/>
      </xdr:nvSpPr>
      <xdr:spPr>
        <a:xfrm>
          <a:off x="7812814" y="2075182"/>
          <a:ext cx="1231511" cy="508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8F7525B-5198-45A3-9C22-53E0EFC0970F}" type="TxLink">
            <a:rPr lang="en-US" sz="2400" b="1" i="0" u="none" strike="noStrike">
              <a:solidFill>
                <a:srgbClr val="F4F6F9"/>
              </a:solidFill>
              <a:latin typeface="Aptos Narrow"/>
              <a:cs typeface="Segoe UI" panose="020B0502040204020203" pitchFamily="34" charset="0"/>
            </a:rPr>
            <a:pPr/>
            <a:t>$475.6K</a:t>
          </a:fld>
          <a:endParaRPr lang="en-US" sz="2400" b="1" i="0" u="none" strike="noStrike">
            <a:solidFill>
              <a:srgbClr val="F4F6F9"/>
            </a:solidFill>
            <a:latin typeface="Aptos Narrow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195003</xdr:colOff>
      <xdr:row>30</xdr:row>
      <xdr:rowOff>133703</xdr:rowOff>
    </xdr:from>
    <xdr:to>
      <xdr:col>8</xdr:col>
      <xdr:colOff>200008</xdr:colOff>
      <xdr:row>33</xdr:row>
      <xdr:rowOff>64938</xdr:rowOff>
    </xdr:to>
    <xdr:sp macro="" textlink="cy_cost">
      <xdr:nvSpPr>
        <xdr:cNvPr id="24" name="TextBox 23">
          <a:extLst>
            <a:ext uri="{FF2B5EF4-FFF2-40B4-BE49-F238E27FC236}">
              <a16:creationId xmlns:a16="http://schemas.microsoft.com/office/drawing/2014/main" id="{B4265FE5-58DC-4F70-B714-9DF2BA17F364}"/>
            </a:ext>
          </a:extLst>
        </xdr:cNvPr>
        <xdr:cNvSpPr txBox="1"/>
      </xdr:nvSpPr>
      <xdr:spPr>
        <a:xfrm>
          <a:off x="3874524" y="6005278"/>
          <a:ext cx="1231511" cy="518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96CA177-3631-462E-8823-FFE887FBFA5D}" type="TxLink">
            <a:rPr lang="en-US" sz="2400" b="1" i="0" u="none" strike="noStrike">
              <a:solidFill>
                <a:srgbClr val="F4F6F9"/>
              </a:solidFill>
              <a:latin typeface="Aptos Narrow"/>
              <a:cs typeface="Segoe UI" panose="020B0502040204020203" pitchFamily="34" charset="0"/>
            </a:rPr>
            <a:pPr/>
            <a:t>$64.0K</a:t>
          </a:fld>
          <a:endParaRPr lang="en-US" sz="2400" b="1" i="0" u="none" strike="noStrike">
            <a:solidFill>
              <a:srgbClr val="F4F6F9"/>
            </a:solidFill>
            <a:latin typeface="Aptos Narrow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80067</xdr:colOff>
      <xdr:row>30</xdr:row>
      <xdr:rowOff>143527</xdr:rowOff>
    </xdr:from>
    <xdr:to>
      <xdr:col>14</xdr:col>
      <xdr:colOff>391440</xdr:colOff>
      <xdr:row>33</xdr:row>
      <xdr:rowOff>65237</xdr:rowOff>
    </xdr:to>
    <xdr:sp macro="" textlink="cy_quantity">
      <xdr:nvSpPr>
        <xdr:cNvPr id="25" name="TextBox 24">
          <a:extLst>
            <a:ext uri="{FF2B5EF4-FFF2-40B4-BE49-F238E27FC236}">
              <a16:creationId xmlns:a16="http://schemas.microsoft.com/office/drawing/2014/main" id="{26ADF041-EA38-478D-8F0E-2281BEF31CA3}"/>
            </a:ext>
          </a:extLst>
        </xdr:cNvPr>
        <xdr:cNvSpPr txBox="1"/>
      </xdr:nvSpPr>
      <xdr:spPr>
        <a:xfrm>
          <a:off x="8052362" y="6015102"/>
          <a:ext cx="924626" cy="5088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4B2FEBF-68AD-4514-B652-581EF9E41BD7}" type="TxLink">
            <a:rPr lang="en-US" sz="2400" b="0" i="0" u="none" strike="noStrike">
              <a:solidFill>
                <a:srgbClr val="F4F6F9"/>
              </a:solidFill>
              <a:latin typeface="Aptos Narrow"/>
              <a:cs typeface="Segoe UI" panose="020B0502040204020203" pitchFamily="34" charset="0"/>
            </a:rPr>
            <a:pPr/>
            <a:t>899</a:t>
          </a:fld>
          <a:endParaRPr lang="en-US" sz="2400" b="1" i="0" u="none" strike="noStrike">
            <a:solidFill>
              <a:srgbClr val="F4F6F9"/>
            </a:solidFill>
            <a:latin typeface="Aptos Narrow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245006</xdr:colOff>
      <xdr:row>21</xdr:row>
      <xdr:rowOff>52750</xdr:rowOff>
    </xdr:from>
    <xdr:to>
      <xdr:col>15</xdr:col>
      <xdr:colOff>260959</xdr:colOff>
      <xdr:row>22</xdr:row>
      <xdr:rowOff>192756</xdr:rowOff>
    </xdr:to>
    <xdr:sp macro="" textlink="ly_sales">
      <xdr:nvSpPr>
        <xdr:cNvPr id="27" name="Rectangle: Rounded Corners 26">
          <a:extLst>
            <a:ext uri="{FF2B5EF4-FFF2-40B4-BE49-F238E27FC236}">
              <a16:creationId xmlns:a16="http://schemas.microsoft.com/office/drawing/2014/main" id="{5D159B8A-DCFE-45BF-839F-6E7E3840B4F3}"/>
            </a:ext>
          </a:extLst>
        </xdr:cNvPr>
        <xdr:cNvSpPr/>
      </xdr:nvSpPr>
      <xdr:spPr>
        <a:xfrm>
          <a:off x="8217301" y="4162853"/>
          <a:ext cx="1242459" cy="335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237A03D-2484-41B9-B3D3-75065EBB2E0E}" type="TxLink">
            <a:rPr lang="en-US" sz="1800" b="0" i="0" u="none" strike="noStrike">
              <a:solidFill>
                <a:srgbClr val="AAE6FF"/>
              </a:solidFill>
              <a:latin typeface="Aptos Narrow"/>
            </a:rPr>
            <a:pPr algn="l"/>
            <a:t>$365.6K</a:t>
          </a:fld>
          <a:endParaRPr lang="en-GB" sz="1800">
            <a:solidFill>
              <a:srgbClr val="AAE6FF"/>
            </a:solidFill>
          </a:endParaRPr>
        </a:p>
      </xdr:txBody>
    </xdr:sp>
    <xdr:clientData/>
  </xdr:twoCellAnchor>
  <xdr:twoCellAnchor>
    <xdr:from>
      <xdr:col>6</xdr:col>
      <xdr:colOff>534250</xdr:colOff>
      <xdr:row>41</xdr:row>
      <xdr:rowOff>133702</xdr:rowOff>
    </xdr:from>
    <xdr:to>
      <xdr:col>9</xdr:col>
      <xdr:colOff>129764</xdr:colOff>
      <xdr:row>43</xdr:row>
      <xdr:rowOff>87513</xdr:rowOff>
    </xdr:to>
    <xdr:sp macro="" textlink="ly_cost">
      <xdr:nvSpPr>
        <xdr:cNvPr id="29" name="Rectangle: Rounded Corners 28">
          <a:extLst>
            <a:ext uri="{FF2B5EF4-FFF2-40B4-BE49-F238E27FC236}">
              <a16:creationId xmlns:a16="http://schemas.microsoft.com/office/drawing/2014/main" id="{43F3596A-753E-458C-ABAA-1B5964346336}"/>
            </a:ext>
          </a:extLst>
        </xdr:cNvPr>
        <xdr:cNvSpPr/>
      </xdr:nvSpPr>
      <xdr:spPr>
        <a:xfrm>
          <a:off x="4213771" y="8158188"/>
          <a:ext cx="1435274" cy="3452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62D2CA9-90C8-4A29-BAEE-95E01089B678}" type="TxLink">
            <a:rPr lang="en-US" sz="1800" b="0" i="0" u="none" strike="noStrike">
              <a:solidFill>
                <a:srgbClr val="AAE6FF"/>
              </a:solidFill>
              <a:latin typeface="Aptos Narrow"/>
            </a:rPr>
            <a:pPr algn="l"/>
            <a:t>$57.5K</a:t>
          </a:fld>
          <a:endParaRPr lang="en-GB" sz="1800">
            <a:solidFill>
              <a:srgbClr val="AAE6FF"/>
            </a:solidFill>
          </a:endParaRPr>
        </a:p>
      </xdr:txBody>
    </xdr:sp>
    <xdr:clientData/>
  </xdr:twoCellAnchor>
  <xdr:twoCellAnchor>
    <xdr:from>
      <xdr:col>14</xdr:col>
      <xdr:colOff>27875</xdr:colOff>
      <xdr:row>41</xdr:row>
      <xdr:rowOff>130480</xdr:rowOff>
    </xdr:from>
    <xdr:to>
      <xdr:col>15</xdr:col>
      <xdr:colOff>391439</xdr:colOff>
      <xdr:row>43</xdr:row>
      <xdr:rowOff>74766</xdr:rowOff>
    </xdr:to>
    <xdr:sp macro="" textlink="ly_quantity">
      <xdr:nvSpPr>
        <xdr:cNvPr id="30" name="Rectangle: Rounded Corners 29">
          <a:extLst>
            <a:ext uri="{FF2B5EF4-FFF2-40B4-BE49-F238E27FC236}">
              <a16:creationId xmlns:a16="http://schemas.microsoft.com/office/drawing/2014/main" id="{3E53FEA9-16BA-4DEA-9947-45796A6FA4B5}"/>
            </a:ext>
          </a:extLst>
        </xdr:cNvPr>
        <xdr:cNvSpPr/>
      </xdr:nvSpPr>
      <xdr:spPr>
        <a:xfrm>
          <a:off x="8613423" y="8154966"/>
          <a:ext cx="976817" cy="335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ED394AF-F6D3-494F-840F-AA9C87FC01DF}" type="TxLink">
            <a:rPr lang="en-US" sz="1800" b="0" i="0" u="none" strike="noStrike">
              <a:solidFill>
                <a:srgbClr val="AAE6FF"/>
              </a:solidFill>
              <a:latin typeface="Aptos Narrow"/>
            </a:rPr>
            <a:pPr algn="l"/>
            <a:t>724</a:t>
          </a:fld>
          <a:endParaRPr lang="en-GB" sz="1800">
            <a:solidFill>
              <a:srgbClr val="AAE6FF"/>
            </a:solidFill>
          </a:endParaRPr>
        </a:p>
      </xdr:txBody>
    </xdr:sp>
    <xdr:clientData/>
  </xdr:twoCellAnchor>
  <xdr:twoCellAnchor editAs="oneCell">
    <xdr:from>
      <xdr:col>3</xdr:col>
      <xdr:colOff>515727</xdr:colOff>
      <xdr:row>35</xdr:row>
      <xdr:rowOff>2</xdr:rowOff>
    </xdr:from>
    <xdr:to>
      <xdr:col>4</xdr:col>
      <xdr:colOff>534966</xdr:colOff>
      <xdr:row>38</xdr:row>
      <xdr:rowOff>130480</xdr:rowOff>
    </xdr:to>
    <xdr:pic>
      <xdr:nvPicPr>
        <xdr:cNvPr id="38" name="Graphic 37" descr="Document outlin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6DF0E9D-3252-D77F-C110-EE30417B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355487" y="6850173"/>
          <a:ext cx="632493" cy="717636"/>
        </a:xfrm>
        <a:prstGeom prst="rect">
          <a:avLst/>
        </a:prstGeom>
      </xdr:spPr>
    </xdr:pic>
    <xdr:clientData/>
  </xdr:twoCellAnchor>
  <xdr:twoCellAnchor editAs="oneCell">
    <xdr:from>
      <xdr:col>3</xdr:col>
      <xdr:colOff>521918</xdr:colOff>
      <xdr:row>12</xdr:row>
      <xdr:rowOff>26095</xdr:rowOff>
    </xdr:from>
    <xdr:to>
      <xdr:col>4</xdr:col>
      <xdr:colOff>574109</xdr:colOff>
      <xdr:row>15</xdr:row>
      <xdr:rowOff>104382</xdr:rowOff>
    </xdr:to>
    <xdr:pic>
      <xdr:nvPicPr>
        <xdr:cNvPr id="40" name="Graphic 39" descr="Bar chart with solid fil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46B6C7B-B0AF-918A-F766-804DCC4F0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361678" y="2374725"/>
          <a:ext cx="665445" cy="665445"/>
        </a:xfrm>
        <a:prstGeom prst="rect">
          <a:avLst/>
        </a:prstGeom>
      </xdr:spPr>
    </xdr:pic>
    <xdr:clientData/>
  </xdr:twoCellAnchor>
  <xdr:twoCellAnchor>
    <xdr:from>
      <xdr:col>31</xdr:col>
      <xdr:colOff>425423</xdr:colOff>
      <xdr:row>4</xdr:row>
      <xdr:rowOff>194931</xdr:rowOff>
    </xdr:from>
    <xdr:to>
      <xdr:col>34</xdr:col>
      <xdr:colOff>430582</xdr:colOff>
      <xdr:row>7</xdr:row>
      <xdr:rowOff>18596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174B973-0DD3-4B8E-B67D-077CF5DA7489}"/>
            </a:ext>
          </a:extLst>
        </xdr:cNvPr>
        <xdr:cNvSpPr txBox="1"/>
      </xdr:nvSpPr>
      <xdr:spPr>
        <a:xfrm>
          <a:off x="19436279" y="977808"/>
          <a:ext cx="1844919" cy="410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0" i="0" u="none" strike="noStrike">
              <a:solidFill>
                <a:srgbClr val="F4F6F9"/>
              </a:solidFill>
              <a:effectLst/>
              <a:latin typeface="+mn-lt"/>
              <a:ea typeface="+mn-ea"/>
              <a:cs typeface="+mn-cs"/>
            </a:rPr>
            <a:t>September 7, 2025</a:t>
          </a:r>
          <a:r>
            <a:rPr lang="en-GB" sz="1600">
              <a:solidFill>
                <a:srgbClr val="F4F6F9"/>
              </a:solidFill>
            </a:rPr>
            <a:t> </a:t>
          </a:r>
          <a:endParaRPr lang="en-GB" sz="1600">
            <a:solidFill>
              <a:srgbClr val="F4F6F9"/>
            </a:solidFill>
            <a:latin typeface="+mn-lt"/>
          </a:endParaRPr>
        </a:p>
      </xdr:txBody>
    </xdr:sp>
    <xdr:clientData/>
  </xdr:twoCellAnchor>
  <xdr:twoCellAnchor>
    <xdr:from>
      <xdr:col>31</xdr:col>
      <xdr:colOff>604816</xdr:colOff>
      <xdr:row>63</xdr:row>
      <xdr:rowOff>16473</xdr:rowOff>
    </xdr:from>
    <xdr:to>
      <xdr:col>34</xdr:col>
      <xdr:colOff>609975</xdr:colOff>
      <xdr:row>65</xdr:row>
      <xdr:rowOff>35856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8D8CE8F-5BE2-4C4D-A290-7B53FF06B821}"/>
            </a:ext>
          </a:extLst>
        </xdr:cNvPr>
        <xdr:cNvSpPr txBox="1"/>
      </xdr:nvSpPr>
      <xdr:spPr>
        <a:xfrm>
          <a:off x="19615672" y="12346781"/>
          <a:ext cx="1844919" cy="410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0" i="0" u="none" strike="noStrike">
              <a:solidFill>
                <a:srgbClr val="F4F6F9"/>
              </a:solidFill>
              <a:effectLst/>
              <a:latin typeface="+mn-lt"/>
              <a:ea typeface="+mn-ea"/>
              <a:cs typeface="+mn-cs"/>
            </a:rPr>
            <a:t>September 7, 2025</a:t>
          </a:r>
          <a:r>
            <a:rPr lang="en-GB" sz="1600">
              <a:solidFill>
                <a:srgbClr val="F4F6F9"/>
              </a:solidFill>
            </a:rPr>
            <a:t> </a:t>
          </a:r>
          <a:endParaRPr lang="en-GB" sz="1600">
            <a:solidFill>
              <a:srgbClr val="F4F6F9"/>
            </a:solidFill>
            <a:latin typeface="+mn-lt"/>
          </a:endParaRPr>
        </a:p>
      </xdr:txBody>
    </xdr:sp>
    <xdr:clientData/>
  </xdr:twoCellAnchor>
  <xdr:twoCellAnchor editAs="oneCell">
    <xdr:from>
      <xdr:col>3</xdr:col>
      <xdr:colOff>508867</xdr:colOff>
      <xdr:row>22</xdr:row>
      <xdr:rowOff>104382</xdr:rowOff>
    </xdr:from>
    <xdr:to>
      <xdr:col>4</xdr:col>
      <xdr:colOff>548012</xdr:colOff>
      <xdr:row>26</xdr:row>
      <xdr:rowOff>156575</xdr:rowOff>
    </xdr:to>
    <xdr:pic>
      <xdr:nvPicPr>
        <xdr:cNvPr id="44" name="Graphic 43" descr="Table outline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51A38EE-E9D2-444E-D59B-9BF32B34D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348627" y="4410204"/>
          <a:ext cx="652399" cy="835070"/>
        </a:xfrm>
        <a:prstGeom prst="rect">
          <a:avLst/>
        </a:prstGeom>
      </xdr:spPr>
    </xdr:pic>
    <xdr:clientData/>
  </xdr:twoCellAnchor>
  <xdr:twoCellAnchor editAs="oneCell">
    <xdr:from>
      <xdr:col>3</xdr:col>
      <xdr:colOff>534966</xdr:colOff>
      <xdr:row>69</xdr:row>
      <xdr:rowOff>169623</xdr:rowOff>
    </xdr:from>
    <xdr:to>
      <xdr:col>4</xdr:col>
      <xdr:colOff>587157</xdr:colOff>
      <xdr:row>73</xdr:row>
      <xdr:rowOff>52191</xdr:rowOff>
    </xdr:to>
    <xdr:pic>
      <xdr:nvPicPr>
        <xdr:cNvPr id="48" name="Graphic 47" descr="Bar chart with solid fil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CAB9A86-A127-4742-A2CD-C1910881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374726" y="13674246"/>
          <a:ext cx="665445" cy="665445"/>
        </a:xfrm>
        <a:prstGeom prst="rect">
          <a:avLst/>
        </a:prstGeom>
      </xdr:spPr>
    </xdr:pic>
    <xdr:clientData/>
  </xdr:twoCellAnchor>
  <xdr:twoCellAnchor editAs="oneCell">
    <xdr:from>
      <xdr:col>3</xdr:col>
      <xdr:colOff>526206</xdr:colOff>
      <xdr:row>80</xdr:row>
      <xdr:rowOff>128242</xdr:rowOff>
    </xdr:from>
    <xdr:to>
      <xdr:col>4</xdr:col>
      <xdr:colOff>565351</xdr:colOff>
      <xdr:row>84</xdr:row>
      <xdr:rowOff>180435</xdr:rowOff>
    </xdr:to>
    <xdr:pic>
      <xdr:nvPicPr>
        <xdr:cNvPr id="50" name="Graphic 49" descr="Table outline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126593A-836C-4672-B339-54CEB7A9A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365966" y="15785776"/>
          <a:ext cx="652399" cy="835070"/>
        </a:xfrm>
        <a:prstGeom prst="rect">
          <a:avLst/>
        </a:prstGeom>
      </xdr:spPr>
    </xdr:pic>
    <xdr:clientData/>
  </xdr:twoCellAnchor>
  <xdr:twoCellAnchor editAs="oneCell">
    <xdr:from>
      <xdr:col>3</xdr:col>
      <xdr:colOff>500110</xdr:colOff>
      <xdr:row>92</xdr:row>
      <xdr:rowOff>49955</xdr:rowOff>
    </xdr:from>
    <xdr:to>
      <xdr:col>4</xdr:col>
      <xdr:colOff>519349</xdr:colOff>
      <xdr:row>95</xdr:row>
      <xdr:rowOff>180433</xdr:rowOff>
    </xdr:to>
    <xdr:pic>
      <xdr:nvPicPr>
        <xdr:cNvPr id="52" name="Graphic 51" descr="Document outlin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8B8D79B-DFD6-4D12-AC5D-88A8DF99D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339870" y="18056119"/>
          <a:ext cx="632493" cy="71763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wo" refreshedDate="45891.897269791669" createdVersion="8" refreshedVersion="8" minRefreshableVersion="3" recordCount="301" xr:uid="{F2413773-90B2-479D-96C1-A32C2046A364}">
  <cacheSource type="worksheet">
    <worksheetSource ref="A1:J1048576" sheet="Sales Data"/>
  </cacheSource>
  <cacheFields count="11">
    <cacheField name="OrderID" numFmtId="0">
      <sharedItems containsBlank="1"/>
    </cacheField>
    <cacheField name="Date" numFmtId="0">
      <sharedItems containsNonDate="0" containsDate="1" containsString="0" containsBlank="1" minDate="2023-01-02T00:00:00" maxDate="2024-12-27T00:00:00"/>
    </cacheField>
    <cacheField name="Month" numFmtId="0">
      <sharedItems containsBlank="1"/>
    </cacheField>
    <cacheField name="Year" numFmtId="0">
      <sharedItems containsBlank="1" count="3">
        <s v="2023"/>
        <s v="2024"/>
        <m/>
      </sharedItems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Sales" numFmtId="0">
      <sharedItems containsString="0" containsBlank="1" containsNumber="1" minValue="87.11" maxValue="11969.38"/>
    </cacheField>
    <cacheField name="Quantity" numFmtId="0">
      <sharedItems containsString="0" containsBlank="1" containsNumber="1" containsInteger="1" minValue="1" maxValue="10"/>
    </cacheField>
    <cacheField name="Cost" numFmtId="0">
      <sharedItems containsString="0" containsBlank="1" containsNumber="1" minValue="21.32" maxValue="798.79"/>
    </cacheField>
    <cacheField name="Profit" numFmtId="0">
      <sharedItems containsString="0" containsBlank="1" containsNumber="1" minValue="19.670000000000002" maxValue="11170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wo" refreshedDate="45896.639362847221" createdVersion="8" refreshedVersion="8" minRefreshableVersion="3" recordCount="300" xr:uid="{59C4E7FF-259C-414C-9B7A-001CEDF1A234}">
  <cacheSource type="worksheet">
    <worksheetSource name="Table1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2T00:00:00" maxDate="2024-12-27T00:00:00" count="255">
        <d v="2023-01-26T00:00:00"/>
        <d v="2024-08-27T00:00:00"/>
        <d v="2024-07-28T00:00:00"/>
        <d v="2024-04-04T00:00:00"/>
        <d v="2023-12-15T00:00:00"/>
        <d v="2023-04-05T00:00:00"/>
        <d v="2023-02-14T00:00:00"/>
        <d v="2024-07-19T00:00:00"/>
        <d v="2024-12-22T00:00:00"/>
        <d v="2023-08-27T00:00:00"/>
        <d v="2024-01-15T00:00:00"/>
        <d v="2024-09-15T00:00:00"/>
        <d v="2023-10-04T00:00:00"/>
        <d v="2023-02-02T00:00:00"/>
        <d v="2023-08-06T00:00:00"/>
        <d v="2023-09-29T00:00:00"/>
        <d v="2024-08-20T00:00:00"/>
        <d v="2023-04-04T00:00:00"/>
        <d v="2024-09-02T00:00:00"/>
        <d v="2024-07-20T00:00:00"/>
        <d v="2024-10-18T00:00:00"/>
        <d v="2023-09-27T00:00:00"/>
        <d v="2024-10-16T00:00:00"/>
        <d v="2024-09-05T00:00:00"/>
        <d v="2023-09-03T00:00:00"/>
        <d v="2024-05-12T00:00:00"/>
        <d v="2024-11-06T00:00:00"/>
        <d v="2023-08-05T00:00:00"/>
        <d v="2024-02-13T00:00:00"/>
        <d v="2023-08-19T00:00:00"/>
        <d v="2023-01-08T00:00:00"/>
        <d v="2023-12-05T00:00:00"/>
        <d v="2024-07-06T00:00:00"/>
        <d v="2023-09-06T00:00:00"/>
        <d v="2023-12-29T00:00:00"/>
        <d v="2023-03-04T00:00:00"/>
        <d v="2023-07-16T00:00:00"/>
        <d v="2024-04-18T00:00:00"/>
        <d v="2023-02-21T00:00:00"/>
        <d v="2024-02-21T00:00:00"/>
        <d v="2024-01-24T00:00:00"/>
        <d v="2024-03-09T00:00:00"/>
        <d v="2023-08-11T00:00:00"/>
        <d v="2023-02-28T00:00:00"/>
        <d v="2024-11-22T00:00:00"/>
        <d v="2024-08-15T00:00:00"/>
        <d v="2023-09-25T00:00:00"/>
        <d v="2023-05-15T00:00:00"/>
        <d v="2024-04-14T00:00:00"/>
        <d v="2024-06-02T00:00:00"/>
        <d v="2024-01-14T00:00:00"/>
        <d v="2024-09-18T00:00:00"/>
        <d v="2023-05-18T00:00:00"/>
        <d v="2023-10-06T00:00:00"/>
        <d v="2024-06-01T00:00:00"/>
        <d v="2024-10-11T00:00:00"/>
        <d v="2024-10-14T00:00:00"/>
        <d v="2024-07-12T00:00:00"/>
        <d v="2023-05-11T00:00:00"/>
        <d v="2023-08-04T00:00:00"/>
        <d v="2024-09-27T00:00:00"/>
        <d v="2024-02-27T00:00:00"/>
        <d v="2023-10-01T00:00:00"/>
        <d v="2023-08-16T00:00:00"/>
        <d v="2023-08-17T00:00:00"/>
        <d v="2023-10-13T00:00:00"/>
        <d v="2023-01-29T00:00:00"/>
        <d v="2023-02-09T00:00:00"/>
        <d v="2024-09-12T00:00:00"/>
        <d v="2023-02-15T00:00:00"/>
        <d v="2024-01-08T00:00:00"/>
        <d v="2024-11-10T00:00:00"/>
        <d v="2023-12-01T00:00:00"/>
        <d v="2024-11-11T00:00:00"/>
        <d v="2024-02-20T00:00:00"/>
        <d v="2024-08-16T00:00:00"/>
        <d v="2024-06-07T00:00:00"/>
        <d v="2024-11-05T00:00:00"/>
        <d v="2023-04-06T00:00:00"/>
        <d v="2024-02-29T00:00:00"/>
        <d v="2023-09-07T00:00:00"/>
        <d v="2023-08-13T00:00:00"/>
        <d v="2024-07-24T00:00:00"/>
        <d v="2024-11-14T00:00:00"/>
        <d v="2024-07-15T00:00:00"/>
        <d v="2023-09-23T00:00:00"/>
        <d v="2024-10-03T00:00:00"/>
        <d v="2023-08-25T00:00:00"/>
        <d v="2024-02-22T00:00:00"/>
        <d v="2024-02-03T00:00:00"/>
        <d v="2024-05-03T00:00:00"/>
        <d v="2024-07-05T00:00:00"/>
        <d v="2023-10-07T00:00:00"/>
        <d v="2023-06-19T00:00:00"/>
        <d v="2024-02-08T00:00:00"/>
        <d v="2023-05-19T00:00:00"/>
        <d v="2024-04-10T00:00:00"/>
        <d v="2023-09-16T00:00:00"/>
        <d v="2023-08-18T00:00:00"/>
        <d v="2023-07-24T00:00:00"/>
        <d v="2024-07-31T00:00:00"/>
        <d v="2023-04-21T00:00:00"/>
        <d v="2024-02-11T00:00:00"/>
        <d v="2023-04-15T00:00:00"/>
        <d v="2023-12-22T00:00:00"/>
        <d v="2023-01-13T00:00:00"/>
        <d v="2024-12-25T00:00:00"/>
        <d v="2024-09-22T00:00:00"/>
        <d v="2023-11-27T00:00:00"/>
        <d v="2024-04-20T00:00:00"/>
        <d v="2023-11-29T00:00:00"/>
        <d v="2023-10-14T00:00:00"/>
        <d v="2023-03-29T00:00:00"/>
        <d v="2024-10-23T00:00:00"/>
        <d v="2024-02-19T00:00:00"/>
        <d v="2024-03-11T00:00:00"/>
        <d v="2023-09-15T00:00:00"/>
        <d v="2023-04-13T00:00:00"/>
        <d v="2024-12-26T00:00:00"/>
        <d v="2024-12-15T00:00:00"/>
        <d v="2024-08-10T00:00:00"/>
        <d v="2024-08-13T00:00:00"/>
        <d v="2023-09-12T00:00:00"/>
        <d v="2024-06-19T00:00:00"/>
        <d v="2023-11-09T00:00:00"/>
        <d v="2023-08-01T00:00:00"/>
        <d v="2023-10-26T00:00:00"/>
        <d v="2023-03-14T00:00:00"/>
        <d v="2023-03-15T00:00:00"/>
        <d v="2024-03-25T00:00:00"/>
        <d v="2024-05-27T00:00:00"/>
        <d v="2024-11-19T00:00:00"/>
        <d v="2024-06-15T00:00:00"/>
        <d v="2024-10-12T00:00:00"/>
        <d v="2023-11-25T00:00:00"/>
        <d v="2023-10-23T00:00:00"/>
        <d v="2023-11-19T00:00:00"/>
        <d v="2024-11-04T00:00:00"/>
        <d v="2024-09-29T00:00:00"/>
        <d v="2024-07-16T00:00:00"/>
        <d v="2023-05-05T00:00:00"/>
        <d v="2023-11-15T00:00:00"/>
        <d v="2024-04-17T00:00:00"/>
        <d v="2024-06-05T00:00:00"/>
        <d v="2024-04-12T00:00:00"/>
        <d v="2023-03-13T00:00:00"/>
        <d v="2023-01-03T00:00:00"/>
        <d v="2023-06-02T00:00:00"/>
        <d v="2024-04-11T00:00:00"/>
        <d v="2023-08-28T00:00:00"/>
        <d v="2024-01-31T00:00:00"/>
        <d v="2024-02-24T00:00:00"/>
        <d v="2024-09-30T00:00:00"/>
        <d v="2023-11-21T00:00:00"/>
        <d v="2024-10-08T00:00:00"/>
        <d v="2024-10-10T00:00:00"/>
        <d v="2024-06-27T00:00:00"/>
        <d v="2023-03-22T00:00:00"/>
        <d v="2024-11-13T00:00:00"/>
        <d v="2023-03-17T00:00:00"/>
        <d v="2024-12-07T00:00:00"/>
        <d v="2023-04-20T00:00:00"/>
        <d v="2023-01-23T00:00:00"/>
        <d v="2024-10-05T00:00:00"/>
        <d v="2023-02-04T00:00:00"/>
        <d v="2024-03-01T00:00:00"/>
        <d v="2023-06-18T00:00:00"/>
        <d v="2023-04-28T00:00:00"/>
        <d v="2024-10-15T00:00:00"/>
        <d v="2024-09-16T00:00:00"/>
        <d v="2024-10-26T00:00:00"/>
        <d v="2024-05-19T00:00:00"/>
        <d v="2024-04-09T00:00:00"/>
        <d v="2024-08-24T00:00:00"/>
        <d v="2024-01-07T00:00:00"/>
        <d v="2024-11-09T00:00:00"/>
        <d v="2023-12-08T00:00:00"/>
        <d v="2024-07-21T00:00:00"/>
        <d v="2023-06-01T00:00:00"/>
        <d v="2024-07-07T00:00:00"/>
        <d v="2023-01-16T00:00:00"/>
        <d v="2023-06-28T00:00:00"/>
        <d v="2023-03-07T00:00:00"/>
        <d v="2024-04-07T00:00:00"/>
        <d v="2024-12-03T00:00:00"/>
        <d v="2023-11-26T00:00:00"/>
        <d v="2024-01-26T00:00:00"/>
        <d v="2023-04-12T00:00:00"/>
        <d v="2024-03-16T00:00:00"/>
        <d v="2023-06-06T00:00:00"/>
        <d v="2023-04-09T00:00:00"/>
        <d v="2024-11-17T00:00:00"/>
        <d v="2023-10-22T00:00:00"/>
        <d v="2023-06-08T00:00:00"/>
        <d v="2023-12-26T00:00:00"/>
        <d v="2024-01-21T00:00:00"/>
        <d v="2024-08-04T00:00:00"/>
        <d v="2024-11-21T00:00:00"/>
        <d v="2023-04-24T00:00:00"/>
        <d v="2023-02-16T00:00:00"/>
        <d v="2023-11-05T00:00:00"/>
        <d v="2023-05-03T00:00:00"/>
        <d v="2024-06-29T00:00:00"/>
        <d v="2024-08-12T00:00:00"/>
        <d v="2024-08-26T00:00:00"/>
        <d v="2023-08-15T00:00:00"/>
        <d v="2023-08-30T00:00:00"/>
        <d v="2024-11-02T00:00:00"/>
        <d v="2024-10-04T00:00:00"/>
        <d v="2023-10-09T00:00:00"/>
        <d v="2024-09-21T00:00:00"/>
        <d v="2024-04-05T00:00:00"/>
        <d v="2023-03-05T00:00:00"/>
        <d v="2024-05-31T00:00:00"/>
        <d v="2023-10-18T00:00:00"/>
        <d v="2024-07-26T00:00:00"/>
        <d v="2023-08-08T00:00:00"/>
        <d v="2024-11-08T00:00:00"/>
        <d v="2023-06-07T00:00:00"/>
        <d v="2024-03-24T00:00:00"/>
        <d v="2024-09-17T00:00:00"/>
        <d v="2023-11-13T00:00:00"/>
        <d v="2024-01-16T00:00:00"/>
        <d v="2023-10-19T00:00:00"/>
        <d v="2024-03-23T00:00:00"/>
        <d v="2023-01-28T00:00:00"/>
        <d v="2023-03-25T00:00:00"/>
        <d v="2023-05-30T00:00:00"/>
        <d v="2024-12-23T00:00:00"/>
        <d v="2023-09-20T00:00:00"/>
        <d v="2024-10-09T00:00:00"/>
        <d v="2023-01-02T00:00:00"/>
        <d v="2024-06-20T00:00:00"/>
        <d v="2024-02-04T00:00:00"/>
        <d v="2023-01-17T00:00:00"/>
        <d v="2024-08-18T00:00:00"/>
        <d v="2024-12-02T00:00:00"/>
        <d v="2023-03-06T00:00:00"/>
        <d v="2023-11-20T00:00:00"/>
        <d v="2023-09-17T00:00:00"/>
        <d v="2024-03-26T00:00:00"/>
        <d v="2024-01-12T00:00:00"/>
        <d v="2023-04-16T00:00:00"/>
        <d v="2023-06-20T00:00:00"/>
        <d v="2023-02-01T00:00:00"/>
        <d v="2023-05-10T00:00:00"/>
        <d v="2024-08-03T00:00:00"/>
        <d v="2024-03-30T00:00:00"/>
        <d v="2024-10-27T00:00:00"/>
        <d v="2024-05-26T00:00:00"/>
        <d v="2024-12-21T00:00:00"/>
        <d v="2023-03-31T00:00:00"/>
        <d v="2023-11-04T00:00:00"/>
        <d v="2024-01-06T00:00:00"/>
        <d v="2024-05-20T00:00:00"/>
      </sharedItems>
      <fieldGroup par="13"/>
    </cacheField>
    <cacheField name="Month" numFmtId="14">
      <sharedItems count="12">
        <s v="Jan"/>
        <s v="Aug"/>
        <s v="Jul"/>
        <s v="Apr"/>
        <s v="Dec"/>
        <s v="Feb"/>
        <s v="Sep"/>
        <s v="Oct"/>
        <s v="May"/>
        <s v="Nov"/>
        <s v="Mar"/>
        <s v="Jun"/>
      </sharedItems>
    </cacheField>
    <cacheField name="Year" numFmtId="14">
      <sharedItems count="2">
        <s v="2023"/>
        <s v="2024"/>
      </sharedItems>
    </cacheField>
    <cacheField name="Product" numFmtId="0">
      <sharedItems count="6">
        <s v="Printer"/>
        <s v="Laptop"/>
        <s v="Mouse"/>
        <s v="Monitor"/>
        <s v="Keyboard"/>
        <s v="Headphones"/>
      </sharedItems>
    </cacheField>
    <cacheField name="Category" numFmtId="0">
      <sharedItems/>
    </cacheField>
    <cacheField name="Region" numFmtId="0">
      <sharedItems count="4">
        <s v="East"/>
        <s v="West"/>
        <s v="South"/>
        <s v="North"/>
      </sharedItems>
    </cacheField>
    <cacheField name="Sales" numFmtId="0">
      <sharedItems containsSemiMixedTypes="0" containsString="0" containsNumber="1" minValue="87.11" maxValue="11969.38"/>
    </cacheField>
    <cacheField name="Quantity" numFmtId="0">
      <sharedItems containsSemiMixedTypes="0" containsString="0" containsNumber="1" containsInteger="1" minValue="1" maxValue="10"/>
    </cacheField>
    <cacheField name="Cost" numFmtId="0">
      <sharedItems containsSemiMixedTypes="0" containsString="0" containsNumber="1" minValue="21.32" maxValue="798.79"/>
    </cacheField>
    <cacheField name="Profit" numFmtId="0" formula="Sales-Cost" databaseField="0"/>
    <cacheField name="Months (Date)" numFmtId="0" databaseField="0">
      <fieldGroup base="1">
        <rangePr groupBy="months" startDate="2023-01-02T00:00:00" endDate="2024-12-27T00:00:00"/>
        <groupItems count="14">
          <s v="&lt;2023-01-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2-27"/>
        </groupItems>
      </fieldGroup>
    </cacheField>
    <cacheField name="Quarters (Date)" numFmtId="0" databaseField="0">
      <fieldGroup base="1">
        <rangePr groupBy="quarters" startDate="2023-01-02T00:00:00" endDate="2024-12-27T00:00:00"/>
        <groupItems count="6">
          <s v="&lt;2023-01-02"/>
          <s v="Qtr1"/>
          <s v="Qtr2"/>
          <s v="Qtr3"/>
          <s v="Qtr4"/>
          <s v="&gt;2024-12-27"/>
        </groupItems>
      </fieldGroup>
    </cacheField>
    <cacheField name="Years (Date)" numFmtId="0" databaseField="0">
      <fieldGroup base="1">
        <rangePr groupBy="years" startDate="2023-01-02T00:00:00" endDate="2024-12-27T00:00:00"/>
        <groupItems count="4">
          <s v="&lt;2023-01-02"/>
          <s v="2023"/>
          <s v="2024"/>
          <s v="&gt;2024-12-27"/>
        </groupItems>
      </fieldGroup>
    </cacheField>
  </cacheFields>
  <extLst>
    <ext xmlns:x14="http://schemas.microsoft.com/office/spreadsheetml/2009/9/main" uri="{725AE2AE-9491-48be-B2B4-4EB974FC3084}">
      <x14:pivotCacheDefinition pivotCacheId="10077660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ORD0001"/>
    <d v="2023-01-26T00:00:00"/>
    <s v="Jan"/>
    <x v="0"/>
    <s v="Printer"/>
    <s v="Electronics"/>
    <s v="East"/>
    <n v="1219.5"/>
    <n v="5"/>
    <n v="211.02"/>
    <n v="1008.48"/>
  </r>
  <r>
    <s v="ORD0002"/>
    <d v="2024-08-27T00:00:00"/>
    <s v="Aug"/>
    <x v="1"/>
    <s v="Laptop"/>
    <s v="Electronics"/>
    <s v="East"/>
    <n v="356.63"/>
    <n v="7"/>
    <n v="44.79"/>
    <n v="311.83999999999997"/>
  </r>
  <r>
    <s v="ORD0003"/>
    <d v="2024-07-28T00:00:00"/>
    <s v="Jul"/>
    <x v="1"/>
    <s v="Mouse"/>
    <s v="Accessories"/>
    <s v="East"/>
    <n v="3194.55"/>
    <n v="4"/>
    <n v="578.5"/>
    <n v="2616.0500000000002"/>
  </r>
  <r>
    <s v="ORD0004"/>
    <d v="2024-04-04T00:00:00"/>
    <s v="Apr"/>
    <x v="1"/>
    <s v="Monitor"/>
    <s v="Electronics"/>
    <s v="West"/>
    <n v="3430.95"/>
    <n v="10"/>
    <n v="236.99"/>
    <n v="3193.96"/>
  </r>
  <r>
    <s v="ORD0005"/>
    <d v="2023-12-15T00:00:00"/>
    <s v="Dec"/>
    <x v="0"/>
    <s v="Mouse"/>
    <s v="Accessories"/>
    <s v="South"/>
    <n v="1047.44"/>
    <n v="5"/>
    <n v="141.27000000000001"/>
    <n v="906.17000000000007"/>
  </r>
  <r>
    <s v="ORD0006"/>
    <d v="2023-04-05T00:00:00"/>
    <s v="Apr"/>
    <x v="0"/>
    <s v="Keyboard"/>
    <s v="Accessories"/>
    <s v="East"/>
    <n v="961.37"/>
    <n v="7"/>
    <n v="95.44"/>
    <n v="865.93000000000006"/>
  </r>
  <r>
    <s v="ORD0007"/>
    <d v="2023-02-14T00:00:00"/>
    <s v="Feb"/>
    <x v="0"/>
    <s v="Headphones"/>
    <s v="Accessories"/>
    <s v="North"/>
    <n v="5221.42"/>
    <n v="8"/>
    <n v="438.26"/>
    <n v="4783.16"/>
  </r>
  <r>
    <s v="ORD0008"/>
    <d v="2024-07-19T00:00:00"/>
    <s v="Jul"/>
    <x v="1"/>
    <s v="Monitor"/>
    <s v="Electronics"/>
    <s v="East"/>
    <n v="4493.2"/>
    <n v="5"/>
    <n v="666.94"/>
    <n v="3826.2599999999998"/>
  </r>
  <r>
    <s v="ORD0009"/>
    <d v="2024-12-22T00:00:00"/>
    <s v="Dec"/>
    <x v="1"/>
    <s v="Keyboard"/>
    <s v="Accessories"/>
    <s v="West"/>
    <n v="132.79"/>
    <n v="2"/>
    <n v="55.74"/>
    <n v="77.049999999999983"/>
  </r>
  <r>
    <s v="ORD0010"/>
    <d v="2023-08-27T00:00:00"/>
    <s v="Aug"/>
    <x v="0"/>
    <s v="Keyboard"/>
    <s v="Accessories"/>
    <s v="East"/>
    <n v="811.1"/>
    <n v="2"/>
    <n v="316.5"/>
    <n v="494.6"/>
  </r>
  <r>
    <s v="ORD0011"/>
    <d v="2024-01-15T00:00:00"/>
    <s v="Jan"/>
    <x v="1"/>
    <s v="Keyboard"/>
    <s v="Accessories"/>
    <s v="West"/>
    <n v="1328.1"/>
    <n v="6"/>
    <n v="183.42"/>
    <n v="1144.6799999999998"/>
  </r>
  <r>
    <s v="ORD0012"/>
    <d v="2024-09-15T00:00:00"/>
    <s v="Sep"/>
    <x v="1"/>
    <s v="Printer"/>
    <s v="Electronics"/>
    <s v="East"/>
    <n v="1569.15"/>
    <n v="3"/>
    <n v="436.63"/>
    <n v="1132.52"/>
  </r>
  <r>
    <s v="ORD0013"/>
    <d v="2023-10-04T00:00:00"/>
    <s v="Oct"/>
    <x v="0"/>
    <s v="Monitor"/>
    <s v="Electronics"/>
    <s v="South"/>
    <n v="2117.1999999999998"/>
    <n v="9"/>
    <n v="191.3"/>
    <n v="1925.8999999999999"/>
  </r>
  <r>
    <s v="ORD0014"/>
    <d v="2023-02-02T00:00:00"/>
    <s v="Feb"/>
    <x v="0"/>
    <s v="Laptop"/>
    <s v="Electronics"/>
    <s v="West"/>
    <n v="2250.09"/>
    <n v="6"/>
    <n v="332.91"/>
    <n v="1917.18"/>
  </r>
  <r>
    <s v="ORD0015"/>
    <d v="2023-08-06T00:00:00"/>
    <s v="Aug"/>
    <x v="0"/>
    <s v="Headphones"/>
    <s v="Accessories"/>
    <s v="North"/>
    <n v="3853.23"/>
    <n v="8"/>
    <n v="328.59"/>
    <n v="3524.64"/>
  </r>
  <r>
    <s v="ORD0016"/>
    <d v="2023-09-29T00:00:00"/>
    <s v="Sep"/>
    <x v="0"/>
    <s v="Monitor"/>
    <s v="Electronics"/>
    <s v="West"/>
    <n v="843.88"/>
    <n v="3"/>
    <n v="212.37"/>
    <n v="631.51"/>
  </r>
  <r>
    <s v="ORD0017"/>
    <d v="2024-08-20T00:00:00"/>
    <s v="Aug"/>
    <x v="1"/>
    <s v="Keyboard"/>
    <s v="Accessories"/>
    <s v="South"/>
    <n v="3172.52"/>
    <n v="7"/>
    <n v="302.36"/>
    <n v="2870.16"/>
  </r>
  <r>
    <s v="ORD0018"/>
    <d v="2023-04-04T00:00:00"/>
    <s v="Apr"/>
    <x v="0"/>
    <s v="Mouse"/>
    <s v="Accessories"/>
    <s v="South"/>
    <n v="803.11"/>
    <n v="1"/>
    <n v="691.66"/>
    <n v="111.45000000000005"/>
  </r>
  <r>
    <s v="ORD0019"/>
    <d v="2024-09-02T00:00:00"/>
    <s v="Sep"/>
    <x v="1"/>
    <s v="Mouse"/>
    <s v="Accessories"/>
    <s v="South"/>
    <n v="856.87"/>
    <n v="2"/>
    <n v="320.12"/>
    <n v="536.75"/>
  </r>
  <r>
    <s v="ORD0020"/>
    <d v="2024-07-20T00:00:00"/>
    <s v="Jul"/>
    <x v="1"/>
    <s v="Monitor"/>
    <s v="Electronics"/>
    <s v="North"/>
    <n v="630.91"/>
    <n v="1"/>
    <n v="550.62"/>
    <n v="80.289999999999964"/>
  </r>
  <r>
    <s v="ORD0021"/>
    <d v="2024-10-18T00:00:00"/>
    <s v="Oct"/>
    <x v="1"/>
    <s v="Headphones"/>
    <s v="Accessories"/>
    <s v="North"/>
    <n v="817.92"/>
    <n v="6"/>
    <n v="107.01"/>
    <n v="710.91"/>
  </r>
  <r>
    <s v="ORD0022"/>
    <d v="2023-09-27T00:00:00"/>
    <s v="Sep"/>
    <x v="0"/>
    <s v="Monitor"/>
    <s v="Electronics"/>
    <s v="East"/>
    <n v="7204.65"/>
    <n v="9"/>
    <n v="614.33000000000004"/>
    <n v="6590.32"/>
  </r>
  <r>
    <s v="ORD0023"/>
    <d v="2024-10-16T00:00:00"/>
    <s v="Oct"/>
    <x v="1"/>
    <s v="Laptop"/>
    <s v="Electronics"/>
    <s v="North"/>
    <n v="5172.8599999999997"/>
    <n v="9"/>
    <n v="495"/>
    <n v="4677.8599999999997"/>
  </r>
  <r>
    <s v="ORD0024"/>
    <d v="2024-09-05T00:00:00"/>
    <s v="Sep"/>
    <x v="1"/>
    <s v="Mouse"/>
    <s v="Accessories"/>
    <s v="East"/>
    <n v="2755.02"/>
    <n v="6"/>
    <n v="401.11"/>
    <n v="2353.91"/>
  </r>
  <r>
    <s v="ORD0025"/>
    <d v="2023-09-03T00:00:00"/>
    <s v="Sep"/>
    <x v="0"/>
    <s v="Keyboard"/>
    <s v="Accessories"/>
    <s v="North"/>
    <n v="275.83999999999997"/>
    <n v="1"/>
    <n v="207.88"/>
    <n v="67.95999999999998"/>
  </r>
  <r>
    <s v="ORD0026"/>
    <d v="2024-05-12T00:00:00"/>
    <s v="May"/>
    <x v="1"/>
    <s v="Laptop"/>
    <s v="Electronics"/>
    <s v="East"/>
    <n v="2055.84"/>
    <n v="2"/>
    <n v="782.83"/>
    <n v="1273.0100000000002"/>
  </r>
  <r>
    <s v="ORD0027"/>
    <d v="2024-11-06T00:00:00"/>
    <s v="Nov"/>
    <x v="1"/>
    <s v="Mouse"/>
    <s v="Accessories"/>
    <s v="West"/>
    <n v="7075.97"/>
    <n v="8"/>
    <n v="758.54"/>
    <n v="6317.43"/>
  </r>
  <r>
    <s v="ORD0028"/>
    <d v="2023-08-05T00:00:00"/>
    <s v="Aug"/>
    <x v="0"/>
    <s v="Headphones"/>
    <s v="Accessories"/>
    <s v="South"/>
    <n v="7542.93"/>
    <n v="9"/>
    <n v="609.11"/>
    <n v="6933.8200000000006"/>
  </r>
  <r>
    <s v="ORD0029"/>
    <d v="2024-02-13T00:00:00"/>
    <s v="Feb"/>
    <x v="1"/>
    <s v="Printer"/>
    <s v="Electronics"/>
    <s v="North"/>
    <n v="2836.67"/>
    <n v="6"/>
    <n v="361.72"/>
    <n v="2474.9499999999998"/>
  </r>
  <r>
    <s v="ORD0030"/>
    <d v="2023-08-19T00:00:00"/>
    <s v="Aug"/>
    <x v="0"/>
    <s v="Laptop"/>
    <s v="Electronics"/>
    <s v="West"/>
    <n v="757.69"/>
    <n v="2"/>
    <n v="283.70999999999998"/>
    <n v="473.98000000000008"/>
  </r>
  <r>
    <s v="ORD0031"/>
    <d v="2023-01-08T00:00:00"/>
    <s v="Jan"/>
    <x v="0"/>
    <s v="Mouse"/>
    <s v="Accessories"/>
    <s v="West"/>
    <n v="1285.6099999999999"/>
    <n v="2"/>
    <n v="572.12"/>
    <n v="713.4899999999999"/>
  </r>
  <r>
    <s v="ORD0032"/>
    <d v="2023-12-05T00:00:00"/>
    <s v="Dec"/>
    <x v="0"/>
    <s v="Laptop"/>
    <s v="Electronics"/>
    <s v="East"/>
    <n v="1020.09"/>
    <n v="2"/>
    <n v="421.04"/>
    <n v="599.04999999999995"/>
  </r>
  <r>
    <s v="ORD0033"/>
    <d v="2024-07-06T00:00:00"/>
    <s v="Jul"/>
    <x v="1"/>
    <s v="Monitor"/>
    <s v="Electronics"/>
    <s v="West"/>
    <n v="2546.5300000000002"/>
    <n v="3"/>
    <n v="584.22"/>
    <n v="1962.3100000000002"/>
  </r>
  <r>
    <s v="ORD0034"/>
    <d v="2023-09-06T00:00:00"/>
    <s v="Sep"/>
    <x v="0"/>
    <s v="Headphones"/>
    <s v="Accessories"/>
    <s v="South"/>
    <n v="6114.64"/>
    <n v="8"/>
    <n v="649.85"/>
    <n v="5464.79"/>
  </r>
  <r>
    <s v="ORD0035"/>
    <d v="2023-12-29T00:00:00"/>
    <s v="Dec"/>
    <x v="0"/>
    <s v="Laptop"/>
    <s v="Electronics"/>
    <s v="South"/>
    <n v="3447.05"/>
    <n v="7"/>
    <n v="340.66"/>
    <n v="3106.3900000000003"/>
  </r>
  <r>
    <s v="ORD0036"/>
    <d v="2023-03-04T00:00:00"/>
    <s v="Mar"/>
    <x v="0"/>
    <s v="Laptop"/>
    <s v="Electronics"/>
    <s v="East"/>
    <n v="5845.79"/>
    <n v="7"/>
    <n v="588.01"/>
    <n v="5257.78"/>
  </r>
  <r>
    <s v="ORD0037"/>
    <d v="2023-07-16T00:00:00"/>
    <s v="Jul"/>
    <x v="0"/>
    <s v="Laptop"/>
    <s v="Electronics"/>
    <s v="West"/>
    <n v="2026.83"/>
    <n v="4"/>
    <n v="438.3"/>
    <n v="1588.53"/>
  </r>
  <r>
    <s v="ORD0038"/>
    <d v="2024-04-18T00:00:00"/>
    <s v="Apr"/>
    <x v="1"/>
    <s v="Mouse"/>
    <s v="Accessories"/>
    <s v="North"/>
    <n v="3173.92"/>
    <n v="4"/>
    <n v="702.1"/>
    <n v="2471.8200000000002"/>
  </r>
  <r>
    <s v="ORD0039"/>
    <d v="2023-02-21T00:00:00"/>
    <s v="Feb"/>
    <x v="0"/>
    <s v="Headphones"/>
    <s v="Accessories"/>
    <s v="East"/>
    <n v="8998.33"/>
    <n v="9"/>
    <n v="672.1"/>
    <n v="8326.23"/>
  </r>
  <r>
    <s v="ORD0040"/>
    <d v="2024-02-21T00:00:00"/>
    <s v="Feb"/>
    <x v="1"/>
    <s v="Mouse"/>
    <s v="Accessories"/>
    <s v="West"/>
    <n v="4574.24"/>
    <n v="8"/>
    <n v="395.46"/>
    <n v="4178.78"/>
  </r>
  <r>
    <s v="ORD0041"/>
    <d v="2024-01-24T00:00:00"/>
    <s v="Jan"/>
    <x v="1"/>
    <s v="Laptop"/>
    <s v="Electronics"/>
    <s v="West"/>
    <n v="951.04"/>
    <n v="1"/>
    <n v="788.54"/>
    <n v="162.5"/>
  </r>
  <r>
    <s v="ORD0042"/>
    <d v="2024-03-09T00:00:00"/>
    <s v="Mar"/>
    <x v="1"/>
    <s v="Monitor"/>
    <s v="Electronics"/>
    <s v="North"/>
    <n v="6248.51"/>
    <n v="9"/>
    <n v="536.26"/>
    <n v="5712.25"/>
  </r>
  <r>
    <s v="ORD0043"/>
    <d v="2023-08-11T00:00:00"/>
    <s v="Aug"/>
    <x v="0"/>
    <s v="Mouse"/>
    <s v="Accessories"/>
    <s v="North"/>
    <n v="621.25"/>
    <n v="1"/>
    <n v="471.76"/>
    <n v="149.49"/>
  </r>
  <r>
    <s v="ORD0044"/>
    <d v="2023-02-28T00:00:00"/>
    <s v="Feb"/>
    <x v="0"/>
    <s v="Printer"/>
    <s v="Electronics"/>
    <s v="North"/>
    <n v="618.9"/>
    <n v="1"/>
    <n v="475.66"/>
    <n v="143.23999999999995"/>
  </r>
  <r>
    <s v="ORD0045"/>
    <d v="2023-02-28T00:00:00"/>
    <s v="Feb"/>
    <x v="0"/>
    <s v="Headphones"/>
    <s v="Accessories"/>
    <s v="West"/>
    <n v="871.83"/>
    <n v="9"/>
    <n v="82.49"/>
    <n v="789.34"/>
  </r>
  <r>
    <s v="ORD0046"/>
    <d v="2024-11-22T00:00:00"/>
    <s v="Nov"/>
    <x v="1"/>
    <s v="Headphones"/>
    <s v="Accessories"/>
    <s v="East"/>
    <n v="1978.34"/>
    <n v="4"/>
    <n v="334.94"/>
    <n v="1643.3999999999999"/>
  </r>
  <r>
    <s v="ORD0047"/>
    <d v="2024-08-15T00:00:00"/>
    <s v="Aug"/>
    <x v="1"/>
    <s v="Headphones"/>
    <s v="Accessories"/>
    <s v="West"/>
    <n v="577.72"/>
    <n v="10"/>
    <n v="51"/>
    <n v="526.72"/>
  </r>
  <r>
    <s v="ORD0048"/>
    <d v="2023-09-25T00:00:00"/>
    <s v="Sep"/>
    <x v="0"/>
    <s v="Printer"/>
    <s v="Electronics"/>
    <s v="North"/>
    <n v="2659.17"/>
    <n v="4"/>
    <n v="542.39"/>
    <n v="2116.7800000000002"/>
  </r>
  <r>
    <s v="ORD0049"/>
    <d v="2023-05-15T00:00:00"/>
    <s v="May"/>
    <x v="0"/>
    <s v="Keyboard"/>
    <s v="Accessories"/>
    <s v="South"/>
    <n v="2771.33"/>
    <n v="5"/>
    <n v="376.64"/>
    <n v="2394.69"/>
  </r>
  <r>
    <s v="ORD0050"/>
    <d v="2024-04-14T00:00:00"/>
    <s v="Apr"/>
    <x v="1"/>
    <s v="Laptop"/>
    <s v="Electronics"/>
    <s v="East"/>
    <n v="11969.38"/>
    <n v="10"/>
    <n v="798.79"/>
    <n v="11170.59"/>
  </r>
  <r>
    <s v="ORD0051"/>
    <d v="2024-06-02T00:00:00"/>
    <s v="Jun"/>
    <x v="1"/>
    <s v="Laptop"/>
    <s v="Electronics"/>
    <s v="West"/>
    <n v="764.34"/>
    <n v="5"/>
    <n v="123.32"/>
    <n v="641.02"/>
  </r>
  <r>
    <s v="ORD0052"/>
    <d v="2024-01-14T00:00:00"/>
    <s v="Jan"/>
    <x v="1"/>
    <s v="Laptop"/>
    <s v="Electronics"/>
    <s v="West"/>
    <n v="1025.24"/>
    <n v="5"/>
    <n v="143.04"/>
    <n v="882.2"/>
  </r>
  <r>
    <s v="ORD0053"/>
    <d v="2024-09-18T00:00:00"/>
    <s v="Sep"/>
    <x v="1"/>
    <s v="Printer"/>
    <s v="Electronics"/>
    <s v="North"/>
    <n v="335.17"/>
    <n v="9"/>
    <n v="26.1"/>
    <n v="309.07"/>
  </r>
  <r>
    <s v="ORD0054"/>
    <d v="2023-05-18T00:00:00"/>
    <s v="May"/>
    <x v="0"/>
    <s v="Keyboard"/>
    <s v="Accessories"/>
    <s v="East"/>
    <n v="628.72"/>
    <n v="5"/>
    <n v="110.03"/>
    <n v="518.69000000000005"/>
  </r>
  <r>
    <s v="ORD0055"/>
    <d v="2023-10-06T00:00:00"/>
    <s v="Oct"/>
    <x v="0"/>
    <s v="Headphones"/>
    <s v="Accessories"/>
    <s v="West"/>
    <n v="3410.54"/>
    <n v="5"/>
    <n v="491.77"/>
    <n v="2918.77"/>
  </r>
  <r>
    <s v="ORD0056"/>
    <d v="2024-06-01T00:00:00"/>
    <s v="Jun"/>
    <x v="1"/>
    <s v="Mouse"/>
    <s v="Accessories"/>
    <s v="North"/>
    <n v="2527"/>
    <n v="8"/>
    <n v="215.87"/>
    <n v="2311.13"/>
  </r>
  <r>
    <s v="ORD0057"/>
    <d v="2024-10-11T00:00:00"/>
    <s v="Oct"/>
    <x v="1"/>
    <s v="Laptop"/>
    <s v="Electronics"/>
    <s v="East"/>
    <n v="5217.38"/>
    <n v="7"/>
    <n v="666.89"/>
    <n v="4550.49"/>
  </r>
  <r>
    <s v="ORD0058"/>
    <d v="2024-10-14T00:00:00"/>
    <s v="Oct"/>
    <x v="1"/>
    <s v="Keyboard"/>
    <s v="Accessories"/>
    <s v="West"/>
    <n v="932.21"/>
    <n v="5"/>
    <n v="146.03"/>
    <n v="786.18000000000006"/>
  </r>
  <r>
    <s v="ORD0059"/>
    <d v="2024-07-28T00:00:00"/>
    <s v="Jul"/>
    <x v="1"/>
    <s v="Printer"/>
    <s v="Electronics"/>
    <s v="South"/>
    <n v="158.53"/>
    <n v="1"/>
    <n v="107.26"/>
    <n v="51.269999999999996"/>
  </r>
  <r>
    <s v="ORD0060"/>
    <d v="2024-07-12T00:00:00"/>
    <s v="Jul"/>
    <x v="1"/>
    <s v="Printer"/>
    <s v="Electronics"/>
    <s v="West"/>
    <n v="894.42"/>
    <n v="1"/>
    <n v="670.98"/>
    <n v="223.43999999999994"/>
  </r>
  <r>
    <s v="ORD0061"/>
    <d v="2023-05-11T00:00:00"/>
    <s v="May"/>
    <x v="0"/>
    <s v="Mouse"/>
    <s v="Accessories"/>
    <s v="South"/>
    <n v="380.14"/>
    <n v="1"/>
    <n v="260.44"/>
    <n v="119.69999999999999"/>
  </r>
  <r>
    <s v="ORD0062"/>
    <d v="2023-08-04T00:00:00"/>
    <s v="Aug"/>
    <x v="0"/>
    <s v="Laptop"/>
    <s v="Electronics"/>
    <s v="North"/>
    <n v="2682.62"/>
    <n v="4"/>
    <n v="540.21"/>
    <n v="2142.41"/>
  </r>
  <r>
    <s v="ORD0063"/>
    <d v="2024-09-27T00:00:00"/>
    <s v="Sep"/>
    <x v="1"/>
    <s v="Headphones"/>
    <s v="Accessories"/>
    <s v="South"/>
    <n v="2659.75"/>
    <n v="3"/>
    <n v="742.1"/>
    <n v="1917.65"/>
  </r>
  <r>
    <s v="ORD0064"/>
    <d v="2024-02-27T00:00:00"/>
    <s v="Feb"/>
    <x v="1"/>
    <s v="Mouse"/>
    <s v="Accessories"/>
    <s v="West"/>
    <n v="235.02"/>
    <n v="1"/>
    <n v="159.9"/>
    <n v="75.12"/>
  </r>
  <r>
    <s v="ORD0065"/>
    <d v="2023-10-01T00:00:00"/>
    <s v="Oct"/>
    <x v="0"/>
    <s v="Monitor"/>
    <s v="Electronics"/>
    <s v="West"/>
    <n v="2174.9499999999998"/>
    <n v="3"/>
    <n v="634.15"/>
    <n v="1540.7999999999997"/>
  </r>
  <r>
    <s v="ORD0066"/>
    <d v="2023-08-16T00:00:00"/>
    <s v="Aug"/>
    <x v="0"/>
    <s v="Laptop"/>
    <s v="Electronics"/>
    <s v="South"/>
    <n v="3374.36"/>
    <n v="4"/>
    <n v="656.94"/>
    <n v="2717.42"/>
  </r>
  <r>
    <s v="ORD0067"/>
    <d v="2023-08-17T00:00:00"/>
    <s v="Aug"/>
    <x v="0"/>
    <s v="Keyboard"/>
    <s v="Accessories"/>
    <s v="West"/>
    <n v="673.56"/>
    <n v="1"/>
    <n v="534.83000000000004"/>
    <n v="138.7299999999999"/>
  </r>
  <r>
    <s v="ORD0068"/>
    <d v="2023-10-13T00:00:00"/>
    <s v="Oct"/>
    <x v="0"/>
    <s v="Keyboard"/>
    <s v="Accessories"/>
    <s v="East"/>
    <n v="3933.52"/>
    <n v="6"/>
    <n v="520.36"/>
    <n v="3413.16"/>
  </r>
  <r>
    <s v="ORD0069"/>
    <d v="2023-01-29T00:00:00"/>
    <s v="Jan"/>
    <x v="0"/>
    <s v="Headphones"/>
    <s v="Accessories"/>
    <s v="North"/>
    <n v="1696.13"/>
    <n v="2"/>
    <n v="704.09"/>
    <n v="992.04000000000008"/>
  </r>
  <r>
    <s v="ORD0070"/>
    <d v="2023-02-09T00:00:00"/>
    <s v="Feb"/>
    <x v="0"/>
    <s v="Headphones"/>
    <s v="Accessories"/>
    <s v="North"/>
    <n v="1201.94"/>
    <n v="2"/>
    <n v="485.33"/>
    <n v="716.61000000000013"/>
  </r>
  <r>
    <s v="ORD0071"/>
    <d v="2024-09-12T00:00:00"/>
    <s v="Sep"/>
    <x v="1"/>
    <s v="Keyboard"/>
    <s v="Accessories"/>
    <s v="South"/>
    <n v="1447.83"/>
    <n v="9"/>
    <n v="110.2"/>
    <n v="1337.6299999999999"/>
  </r>
  <r>
    <s v="ORD0072"/>
    <d v="2023-02-15T00:00:00"/>
    <s v="Feb"/>
    <x v="0"/>
    <s v="Mouse"/>
    <s v="Accessories"/>
    <s v="North"/>
    <n v="219.42"/>
    <n v="7"/>
    <n v="21.32"/>
    <n v="198.1"/>
  </r>
  <r>
    <s v="ORD0073"/>
    <d v="2024-01-08T00:00:00"/>
    <s v="Jan"/>
    <x v="1"/>
    <s v="Headphones"/>
    <s v="Accessories"/>
    <s v="West"/>
    <n v="712.97"/>
    <n v="7"/>
    <n v="74.58"/>
    <n v="638.39"/>
  </r>
  <r>
    <s v="ORD0074"/>
    <d v="2024-11-10T00:00:00"/>
    <s v="Nov"/>
    <x v="1"/>
    <s v="Keyboard"/>
    <s v="Accessories"/>
    <s v="North"/>
    <n v="1418.79"/>
    <n v="2"/>
    <n v="581.41"/>
    <n v="837.38"/>
  </r>
  <r>
    <s v="ORD0075"/>
    <d v="2023-12-01T00:00:00"/>
    <s v="Dec"/>
    <x v="0"/>
    <s v="Keyboard"/>
    <s v="Accessories"/>
    <s v="South"/>
    <n v="5216.66"/>
    <n v="7"/>
    <n v="563.82000000000005"/>
    <n v="4652.84"/>
  </r>
  <r>
    <s v="ORD0076"/>
    <d v="2024-11-11T00:00:00"/>
    <s v="Nov"/>
    <x v="1"/>
    <s v="Mouse"/>
    <s v="Accessories"/>
    <s v="South"/>
    <n v="5608.04"/>
    <n v="7"/>
    <n v="548.30999999999995"/>
    <n v="5059.7299999999996"/>
  </r>
  <r>
    <s v="ORD0077"/>
    <d v="2024-02-20T00:00:00"/>
    <s v="Feb"/>
    <x v="1"/>
    <s v="Headphones"/>
    <s v="Accessories"/>
    <s v="North"/>
    <n v="7369.35"/>
    <n v="9"/>
    <n v="670.31"/>
    <n v="6699.0400000000009"/>
  </r>
  <r>
    <s v="ORD0078"/>
    <d v="2024-08-16T00:00:00"/>
    <s v="Aug"/>
    <x v="1"/>
    <s v="Mouse"/>
    <s v="Accessories"/>
    <s v="South"/>
    <n v="6824.39"/>
    <n v="10"/>
    <n v="530.66999999999996"/>
    <n v="6293.72"/>
  </r>
  <r>
    <s v="ORD0079"/>
    <d v="2024-06-07T00:00:00"/>
    <s v="Jun"/>
    <x v="1"/>
    <s v="Monitor"/>
    <s v="Electronics"/>
    <s v="West"/>
    <n v="7587.17"/>
    <n v="8"/>
    <n v="639.11"/>
    <n v="6948.06"/>
  </r>
  <r>
    <s v="ORD0080"/>
    <d v="2024-11-05T00:00:00"/>
    <s v="Nov"/>
    <x v="1"/>
    <s v="Printer"/>
    <s v="Electronics"/>
    <s v="West"/>
    <n v="659.15"/>
    <n v="2"/>
    <n v="241.35"/>
    <n v="417.79999999999995"/>
  </r>
  <r>
    <s v="ORD0081"/>
    <d v="2023-04-06T00:00:00"/>
    <s v="Apr"/>
    <x v="0"/>
    <s v="Headphones"/>
    <s v="Accessories"/>
    <s v="North"/>
    <n v="2592.84"/>
    <n v="4"/>
    <n v="544.78"/>
    <n v="2048.0600000000004"/>
  </r>
  <r>
    <s v="ORD0082"/>
    <d v="2023-01-26T00:00:00"/>
    <s v="Jan"/>
    <x v="0"/>
    <s v="Mouse"/>
    <s v="Accessories"/>
    <s v="West"/>
    <n v="272.18"/>
    <n v="1"/>
    <n v="210.98"/>
    <n v="61.200000000000017"/>
  </r>
  <r>
    <s v="ORD0083"/>
    <d v="2024-02-29T00:00:00"/>
    <s v="Feb"/>
    <x v="1"/>
    <s v="Laptop"/>
    <s v="Electronics"/>
    <s v="South"/>
    <n v="2366.4"/>
    <n v="10"/>
    <n v="171.66"/>
    <n v="2194.7400000000002"/>
  </r>
  <r>
    <s v="ORD0084"/>
    <d v="2023-09-07T00:00:00"/>
    <s v="Sep"/>
    <x v="0"/>
    <s v="Monitor"/>
    <s v="Electronics"/>
    <s v="South"/>
    <n v="1758.25"/>
    <n v="3"/>
    <n v="531.73"/>
    <n v="1226.52"/>
  </r>
  <r>
    <s v="ORD0085"/>
    <d v="2023-08-13T00:00:00"/>
    <s v="Aug"/>
    <x v="0"/>
    <s v="Laptop"/>
    <s v="Electronics"/>
    <s v="South"/>
    <n v="2676.27"/>
    <n v="3"/>
    <n v="647.21"/>
    <n v="2029.06"/>
  </r>
  <r>
    <s v="ORD0086"/>
    <d v="2024-07-24T00:00:00"/>
    <s v="Jul"/>
    <x v="1"/>
    <s v="Monitor"/>
    <s v="Electronics"/>
    <s v="East"/>
    <n v="3379.61"/>
    <n v="4"/>
    <n v="735.63"/>
    <n v="2643.98"/>
  </r>
  <r>
    <s v="ORD0087"/>
    <d v="2024-11-14T00:00:00"/>
    <s v="Nov"/>
    <x v="1"/>
    <s v="Mouse"/>
    <s v="Accessories"/>
    <s v="South"/>
    <n v="9521.2099999999991"/>
    <n v="9"/>
    <n v="790.56"/>
    <n v="8730.65"/>
  </r>
  <r>
    <s v="ORD0088"/>
    <d v="2024-07-15T00:00:00"/>
    <s v="Jul"/>
    <x v="1"/>
    <s v="Monitor"/>
    <s v="Electronics"/>
    <s v="South"/>
    <n v="8047.37"/>
    <n v="8"/>
    <n v="719.82"/>
    <n v="7327.55"/>
  </r>
  <r>
    <s v="ORD0089"/>
    <d v="2023-09-23T00:00:00"/>
    <s v="Sep"/>
    <x v="0"/>
    <s v="Monitor"/>
    <s v="Electronics"/>
    <s v="South"/>
    <n v="3269.93"/>
    <n v="4"/>
    <n v="675.09"/>
    <n v="2594.8399999999997"/>
  </r>
  <r>
    <s v="ORD0090"/>
    <d v="2024-10-03T00:00:00"/>
    <s v="Oct"/>
    <x v="1"/>
    <s v="Headphones"/>
    <s v="Accessories"/>
    <s v="South"/>
    <n v="1059.47"/>
    <n v="4"/>
    <n v="234.19"/>
    <n v="825.28"/>
  </r>
  <r>
    <s v="ORD0091"/>
    <d v="2023-10-06T00:00:00"/>
    <s v="Oct"/>
    <x v="0"/>
    <s v="Keyboard"/>
    <s v="Accessories"/>
    <s v="West"/>
    <n v="2127.04"/>
    <n v="6"/>
    <n v="269.37"/>
    <n v="1857.67"/>
  </r>
  <r>
    <s v="ORD0092"/>
    <d v="2023-08-25T00:00:00"/>
    <s v="Aug"/>
    <x v="0"/>
    <s v="Mouse"/>
    <s v="Accessories"/>
    <s v="West"/>
    <n v="5432.05"/>
    <n v="7"/>
    <n v="561.28"/>
    <n v="4870.7700000000004"/>
  </r>
  <r>
    <s v="ORD0093"/>
    <d v="2024-02-22T00:00:00"/>
    <s v="Feb"/>
    <x v="1"/>
    <s v="Laptop"/>
    <s v="Electronics"/>
    <s v="South"/>
    <n v="3367.67"/>
    <n v="6"/>
    <n v="443.24"/>
    <n v="2924.4300000000003"/>
  </r>
  <r>
    <s v="ORD0094"/>
    <d v="2024-02-03T00:00:00"/>
    <s v="Feb"/>
    <x v="1"/>
    <s v="Mouse"/>
    <s v="Accessories"/>
    <s v="South"/>
    <n v="8396.4500000000007"/>
    <n v="10"/>
    <n v="757.93"/>
    <n v="7638.52"/>
  </r>
  <r>
    <s v="ORD0095"/>
    <d v="2024-05-03T00:00:00"/>
    <s v="May"/>
    <x v="1"/>
    <s v="Headphones"/>
    <s v="Accessories"/>
    <s v="South"/>
    <n v="921.1"/>
    <n v="1"/>
    <n v="755.34"/>
    <n v="165.76"/>
  </r>
  <r>
    <s v="ORD0096"/>
    <d v="2024-07-05T00:00:00"/>
    <s v="Jul"/>
    <x v="1"/>
    <s v="Monitor"/>
    <s v="Electronics"/>
    <s v="South"/>
    <n v="8455.77"/>
    <n v="9"/>
    <n v="643.9"/>
    <n v="7811.8700000000008"/>
  </r>
  <r>
    <s v="ORD0097"/>
    <d v="2023-10-07T00:00:00"/>
    <s v="Oct"/>
    <x v="0"/>
    <s v="Monitor"/>
    <s v="Electronics"/>
    <s v="West"/>
    <n v="3504.97"/>
    <n v="7"/>
    <n v="398.8"/>
    <n v="3106.1699999999996"/>
  </r>
  <r>
    <s v="ORD0098"/>
    <d v="2023-06-19T00:00:00"/>
    <s v="Jun"/>
    <x v="0"/>
    <s v="Printer"/>
    <s v="Electronics"/>
    <s v="South"/>
    <n v="8801.4"/>
    <n v="8"/>
    <n v="737.24"/>
    <n v="8064.16"/>
  </r>
  <r>
    <s v="ORD0099"/>
    <d v="2024-02-08T00:00:00"/>
    <s v="Feb"/>
    <x v="1"/>
    <s v="Headphones"/>
    <s v="Accessories"/>
    <s v="East"/>
    <n v="5112.42"/>
    <n v="10"/>
    <n v="460.23"/>
    <n v="4652.1900000000005"/>
  </r>
  <r>
    <s v="ORD0100"/>
    <d v="2023-05-19T00:00:00"/>
    <s v="May"/>
    <x v="0"/>
    <s v="Printer"/>
    <s v="Electronics"/>
    <s v="South"/>
    <n v="1558.06"/>
    <n v="8"/>
    <n v="161.75"/>
    <n v="1396.31"/>
  </r>
  <r>
    <s v="ORD0101"/>
    <d v="2024-04-10T00:00:00"/>
    <s v="Apr"/>
    <x v="1"/>
    <s v="Keyboard"/>
    <s v="Accessories"/>
    <s v="West"/>
    <n v="2467.4299999999998"/>
    <n v="6"/>
    <n v="283.25"/>
    <n v="2184.1799999999998"/>
  </r>
  <r>
    <s v="ORD0102"/>
    <d v="2023-09-16T00:00:00"/>
    <s v="Sep"/>
    <x v="0"/>
    <s v="Keyboard"/>
    <s v="Accessories"/>
    <s v="South"/>
    <n v="1082.8499999999999"/>
    <n v="2"/>
    <n v="386.84"/>
    <n v="696.01"/>
  </r>
  <r>
    <s v="ORD0103"/>
    <d v="2023-08-18T00:00:00"/>
    <s v="Aug"/>
    <x v="0"/>
    <s v="Laptop"/>
    <s v="Electronics"/>
    <s v="North"/>
    <n v="1712.74"/>
    <n v="2"/>
    <n v="629.36"/>
    <n v="1083.3800000000001"/>
  </r>
  <r>
    <s v="ORD0104"/>
    <d v="2023-07-24T00:00:00"/>
    <s v="Jul"/>
    <x v="0"/>
    <s v="Laptop"/>
    <s v="Electronics"/>
    <s v="West"/>
    <n v="603.26"/>
    <n v="1"/>
    <n v="504.64"/>
    <n v="98.62"/>
  </r>
  <r>
    <s v="ORD0105"/>
    <d v="2024-07-31T00:00:00"/>
    <s v="Jul"/>
    <x v="1"/>
    <s v="Monitor"/>
    <s v="Electronics"/>
    <s v="East"/>
    <n v="1840.93"/>
    <n v="4"/>
    <n v="382.73"/>
    <n v="1458.2"/>
  </r>
  <r>
    <s v="ORD0106"/>
    <d v="2024-09-12T00:00:00"/>
    <s v="Sep"/>
    <x v="1"/>
    <s v="Keyboard"/>
    <s v="Accessories"/>
    <s v="West"/>
    <n v="10706.26"/>
    <n v="10"/>
    <n v="771.71"/>
    <n v="9934.5499999999993"/>
  </r>
  <r>
    <s v="ORD0107"/>
    <d v="2023-04-21T00:00:00"/>
    <s v="Apr"/>
    <x v="0"/>
    <s v="Mouse"/>
    <s v="Accessories"/>
    <s v="North"/>
    <n v="490.28"/>
    <n v="10"/>
    <n v="40.03"/>
    <n v="450.25"/>
  </r>
  <r>
    <s v="ORD0108"/>
    <d v="2024-02-11T00:00:00"/>
    <s v="Feb"/>
    <x v="1"/>
    <s v="Printer"/>
    <s v="Electronics"/>
    <s v="South"/>
    <n v="436.44"/>
    <n v="4"/>
    <n v="79.28"/>
    <n v="357.15999999999997"/>
  </r>
  <r>
    <s v="ORD0109"/>
    <d v="2023-04-15T00:00:00"/>
    <s v="Apr"/>
    <x v="0"/>
    <s v="Printer"/>
    <s v="Electronics"/>
    <s v="West"/>
    <n v="4578.2"/>
    <n v="5"/>
    <n v="683.23"/>
    <n v="3894.97"/>
  </r>
  <r>
    <s v="ORD0110"/>
    <d v="2023-12-22T00:00:00"/>
    <s v="Dec"/>
    <x v="0"/>
    <s v="Laptop"/>
    <s v="Electronics"/>
    <s v="East"/>
    <n v="3978.32"/>
    <n v="9"/>
    <n v="354.13"/>
    <n v="3624.19"/>
  </r>
  <r>
    <s v="ORD0111"/>
    <d v="2023-01-13T00:00:00"/>
    <s v="Jan"/>
    <x v="0"/>
    <s v="Headphones"/>
    <s v="Accessories"/>
    <s v="North"/>
    <n v="5288.39"/>
    <n v="7"/>
    <n v="661.42"/>
    <n v="4626.97"/>
  </r>
  <r>
    <s v="ORD0112"/>
    <d v="2024-12-25T00:00:00"/>
    <s v="Dec"/>
    <x v="1"/>
    <s v="Keyboard"/>
    <s v="Accessories"/>
    <s v="South"/>
    <n v="1503.66"/>
    <n v="3"/>
    <n v="359.68"/>
    <n v="1143.98"/>
  </r>
  <r>
    <s v="ORD0113"/>
    <d v="2024-09-22T00:00:00"/>
    <s v="Sep"/>
    <x v="1"/>
    <s v="Printer"/>
    <s v="Electronics"/>
    <s v="North"/>
    <n v="7224.44"/>
    <n v="9"/>
    <n v="624.22"/>
    <n v="6600.2199999999993"/>
  </r>
  <r>
    <s v="ORD0114"/>
    <d v="2023-11-27T00:00:00"/>
    <s v="Nov"/>
    <x v="0"/>
    <s v="Printer"/>
    <s v="Electronics"/>
    <s v="North"/>
    <n v="3031.69"/>
    <n v="4"/>
    <n v="667.97"/>
    <n v="2363.7200000000003"/>
  </r>
  <r>
    <s v="ORD0115"/>
    <d v="2024-04-20T00:00:00"/>
    <s v="Apr"/>
    <x v="1"/>
    <s v="Monitor"/>
    <s v="Electronics"/>
    <s v="West"/>
    <n v="6208.67"/>
    <n v="10"/>
    <n v="496.06"/>
    <n v="5712.61"/>
  </r>
  <r>
    <s v="ORD0116"/>
    <d v="2023-11-29T00:00:00"/>
    <s v="Nov"/>
    <x v="0"/>
    <s v="Laptop"/>
    <s v="Electronics"/>
    <s v="South"/>
    <n v="1491.4"/>
    <n v="3"/>
    <n v="400.29"/>
    <n v="1091.1100000000001"/>
  </r>
  <r>
    <s v="ORD0117"/>
    <d v="2023-10-14T00:00:00"/>
    <s v="Oct"/>
    <x v="0"/>
    <s v="Keyboard"/>
    <s v="Accessories"/>
    <s v="North"/>
    <n v="6862.61"/>
    <n v="10"/>
    <n v="566.91999999999996"/>
    <n v="6295.69"/>
  </r>
  <r>
    <s v="ORD0118"/>
    <d v="2023-03-29T00:00:00"/>
    <s v="Mar"/>
    <x v="0"/>
    <s v="Laptop"/>
    <s v="Electronics"/>
    <s v="West"/>
    <n v="3014"/>
    <n v="4"/>
    <n v="581.66"/>
    <n v="2432.34"/>
  </r>
  <r>
    <s v="ORD0119"/>
    <d v="2024-10-23T00:00:00"/>
    <s v="Oct"/>
    <x v="1"/>
    <s v="Mouse"/>
    <s v="Accessories"/>
    <s v="South"/>
    <n v="3272.7"/>
    <n v="8"/>
    <n v="369.58"/>
    <n v="2903.12"/>
  </r>
  <r>
    <s v="ORD0120"/>
    <d v="2024-02-19T00:00:00"/>
    <s v="Feb"/>
    <x v="1"/>
    <s v="Keyboard"/>
    <s v="Accessories"/>
    <s v="West"/>
    <n v="1379.74"/>
    <n v="4"/>
    <n v="258.83999999999997"/>
    <n v="1120.9000000000001"/>
  </r>
  <r>
    <s v="ORD0121"/>
    <d v="2024-03-11T00:00:00"/>
    <s v="Mar"/>
    <x v="1"/>
    <s v="Monitor"/>
    <s v="Electronics"/>
    <s v="North"/>
    <n v="3455.87"/>
    <n v="9"/>
    <n v="278.02"/>
    <n v="3177.85"/>
  </r>
  <r>
    <s v="ORD0122"/>
    <d v="2023-09-15T00:00:00"/>
    <s v="Sep"/>
    <x v="0"/>
    <s v="Keyboard"/>
    <s v="Accessories"/>
    <s v="North"/>
    <n v="537.25"/>
    <n v="4"/>
    <n v="114.11"/>
    <n v="423.14"/>
  </r>
  <r>
    <s v="ORD0123"/>
    <d v="2023-07-16T00:00:00"/>
    <s v="Jul"/>
    <x v="0"/>
    <s v="Laptop"/>
    <s v="Electronics"/>
    <s v="West"/>
    <n v="2886.6"/>
    <n v="4"/>
    <n v="596.11"/>
    <n v="2290.4899999999998"/>
  </r>
  <r>
    <s v="ORD0124"/>
    <d v="2023-04-13T00:00:00"/>
    <s v="Apr"/>
    <x v="0"/>
    <s v="Headphones"/>
    <s v="Accessories"/>
    <s v="North"/>
    <n v="1249.68"/>
    <n v="4"/>
    <n v="251.07"/>
    <n v="998.61000000000013"/>
  </r>
  <r>
    <s v="ORD0125"/>
    <d v="2024-12-26T00:00:00"/>
    <s v="Dec"/>
    <x v="1"/>
    <s v="Keyboard"/>
    <s v="Accessories"/>
    <s v="East"/>
    <n v="1194.8800000000001"/>
    <n v="9"/>
    <n v="118.73"/>
    <n v="1076.1500000000001"/>
  </r>
  <r>
    <s v="ORD0126"/>
    <d v="2024-12-15T00:00:00"/>
    <s v="Dec"/>
    <x v="1"/>
    <s v="Laptop"/>
    <s v="Electronics"/>
    <s v="North"/>
    <n v="2175.4"/>
    <n v="3"/>
    <n v="517.54"/>
    <n v="1657.8600000000001"/>
  </r>
  <r>
    <s v="ORD0127"/>
    <d v="2024-08-10T00:00:00"/>
    <s v="Aug"/>
    <x v="1"/>
    <s v="Laptop"/>
    <s v="Electronics"/>
    <s v="East"/>
    <n v="2463.87"/>
    <n v="5"/>
    <n v="386.13"/>
    <n v="2077.7399999999998"/>
  </r>
  <r>
    <s v="ORD0128"/>
    <d v="2023-09-16T00:00:00"/>
    <s v="Sep"/>
    <x v="0"/>
    <s v="Mouse"/>
    <s v="Accessories"/>
    <s v="East"/>
    <n v="981.9"/>
    <n v="8"/>
    <n v="108.99"/>
    <n v="872.91"/>
  </r>
  <r>
    <s v="ORD0129"/>
    <d v="2024-08-13T00:00:00"/>
    <s v="Aug"/>
    <x v="1"/>
    <s v="Monitor"/>
    <s v="Electronics"/>
    <s v="East"/>
    <n v="197.07"/>
    <n v="1"/>
    <n v="138.35"/>
    <n v="58.72"/>
  </r>
  <r>
    <s v="ORD0130"/>
    <d v="2023-09-12T00:00:00"/>
    <s v="Sep"/>
    <x v="0"/>
    <s v="Keyboard"/>
    <s v="Accessories"/>
    <s v="East"/>
    <n v="1153.25"/>
    <n v="2"/>
    <n v="455.3"/>
    <n v="697.95"/>
  </r>
  <r>
    <s v="ORD0131"/>
    <d v="2024-06-19T00:00:00"/>
    <s v="Jun"/>
    <x v="1"/>
    <s v="Headphones"/>
    <s v="Accessories"/>
    <s v="West"/>
    <n v="3320.17"/>
    <n v="7"/>
    <n v="371.4"/>
    <n v="2948.77"/>
  </r>
  <r>
    <s v="ORD0132"/>
    <d v="2023-11-09T00:00:00"/>
    <s v="Nov"/>
    <x v="0"/>
    <s v="Headphones"/>
    <s v="Accessories"/>
    <s v="South"/>
    <n v="6778.39"/>
    <n v="10"/>
    <n v="504.4"/>
    <n v="6273.9900000000007"/>
  </r>
  <r>
    <s v="ORD0133"/>
    <d v="2023-08-01T00:00:00"/>
    <s v="Aug"/>
    <x v="0"/>
    <s v="Printer"/>
    <s v="Electronics"/>
    <s v="East"/>
    <n v="1025.6600000000001"/>
    <n v="4"/>
    <n v="226.42"/>
    <n v="799.24000000000012"/>
  </r>
  <r>
    <s v="ORD0134"/>
    <d v="2024-07-19T00:00:00"/>
    <s v="Jul"/>
    <x v="1"/>
    <s v="Mouse"/>
    <s v="Accessories"/>
    <s v="West"/>
    <n v="359.06"/>
    <n v="2"/>
    <n v="142.1"/>
    <n v="216.96"/>
  </r>
  <r>
    <s v="ORD0135"/>
    <d v="2023-10-26T00:00:00"/>
    <s v="Oct"/>
    <x v="0"/>
    <s v="Printer"/>
    <s v="Electronics"/>
    <s v="South"/>
    <n v="277.32"/>
    <n v="1"/>
    <n v="200.55"/>
    <n v="76.769999999999982"/>
  </r>
  <r>
    <s v="ORD0136"/>
    <d v="2023-03-14T00:00:00"/>
    <s v="Mar"/>
    <x v="0"/>
    <s v="Printer"/>
    <s v="Electronics"/>
    <s v="South"/>
    <n v="4192.47"/>
    <n v="4"/>
    <n v="740.65"/>
    <n v="3451.82"/>
  </r>
  <r>
    <s v="ORD0137"/>
    <d v="2024-03-11T00:00:00"/>
    <s v="Mar"/>
    <x v="1"/>
    <s v="Printer"/>
    <s v="Electronics"/>
    <s v="West"/>
    <n v="1208.9100000000001"/>
    <n v="2"/>
    <n v="444.76"/>
    <n v="764.15000000000009"/>
  </r>
  <r>
    <s v="ORD0138"/>
    <d v="2023-03-15T00:00:00"/>
    <s v="Mar"/>
    <x v="0"/>
    <s v="Keyboard"/>
    <s v="Accessories"/>
    <s v="West"/>
    <n v="182.75"/>
    <n v="1"/>
    <n v="149.41999999999999"/>
    <n v="33.330000000000013"/>
  </r>
  <r>
    <s v="ORD0139"/>
    <d v="2024-03-25T00:00:00"/>
    <s v="Mar"/>
    <x v="1"/>
    <s v="Printer"/>
    <s v="Electronics"/>
    <s v="North"/>
    <n v="942.08"/>
    <n v="2"/>
    <n v="385.58"/>
    <n v="556.5"/>
  </r>
  <r>
    <s v="ORD0140"/>
    <d v="2024-05-27T00:00:00"/>
    <s v="May"/>
    <x v="1"/>
    <s v="Monitor"/>
    <s v="Electronics"/>
    <s v="North"/>
    <n v="4128.41"/>
    <n v="9"/>
    <n v="405.16"/>
    <n v="3723.25"/>
  </r>
  <r>
    <s v="ORD0141"/>
    <d v="2023-11-27T00:00:00"/>
    <s v="Nov"/>
    <x v="0"/>
    <s v="Laptop"/>
    <s v="Electronics"/>
    <s v="South"/>
    <n v="2446.84"/>
    <n v="10"/>
    <n v="215.29"/>
    <n v="2231.5500000000002"/>
  </r>
  <r>
    <s v="ORD0142"/>
    <d v="2024-11-19T00:00:00"/>
    <s v="Nov"/>
    <x v="1"/>
    <s v="Printer"/>
    <s v="Electronics"/>
    <s v="East"/>
    <n v="3298.6"/>
    <n v="5"/>
    <n v="469.47"/>
    <n v="2829.13"/>
  </r>
  <r>
    <s v="ORD0143"/>
    <d v="2024-06-15T00:00:00"/>
    <s v="Jun"/>
    <x v="1"/>
    <s v="Mouse"/>
    <s v="Accessories"/>
    <s v="South"/>
    <n v="6890.55"/>
    <n v="8"/>
    <n v="734.54"/>
    <n v="6156.01"/>
  </r>
  <r>
    <s v="ORD0144"/>
    <d v="2024-10-12T00:00:00"/>
    <s v="Oct"/>
    <x v="1"/>
    <s v="Headphones"/>
    <s v="Accessories"/>
    <s v="South"/>
    <n v="7994.49"/>
    <n v="8"/>
    <n v="775.86"/>
    <n v="7218.63"/>
  </r>
  <r>
    <s v="ORD0145"/>
    <d v="2023-11-25T00:00:00"/>
    <s v="Nov"/>
    <x v="0"/>
    <s v="Monitor"/>
    <s v="Electronics"/>
    <s v="North"/>
    <n v="1697.66"/>
    <n v="2"/>
    <n v="689.03"/>
    <n v="1008.6300000000001"/>
  </r>
  <r>
    <s v="ORD0146"/>
    <d v="2023-10-23T00:00:00"/>
    <s v="Oct"/>
    <x v="0"/>
    <s v="Printer"/>
    <s v="Electronics"/>
    <s v="South"/>
    <n v="6048.5"/>
    <n v="7"/>
    <n v="654.58000000000004"/>
    <n v="5393.92"/>
  </r>
  <r>
    <s v="ORD0147"/>
    <d v="2023-11-19T00:00:00"/>
    <s v="Nov"/>
    <x v="0"/>
    <s v="Monitor"/>
    <s v="Electronics"/>
    <s v="East"/>
    <n v="2024.9"/>
    <n v="5"/>
    <n v="272.14999999999998"/>
    <n v="1752.75"/>
  </r>
  <r>
    <s v="ORD0148"/>
    <d v="2024-11-04T00:00:00"/>
    <s v="Nov"/>
    <x v="1"/>
    <s v="Monitor"/>
    <s v="Electronics"/>
    <s v="East"/>
    <n v="3839.58"/>
    <n v="9"/>
    <n v="380.34"/>
    <n v="3459.24"/>
  </r>
  <r>
    <s v="ORD0149"/>
    <d v="2024-09-29T00:00:00"/>
    <s v="Sep"/>
    <x v="1"/>
    <s v="Headphones"/>
    <s v="Accessories"/>
    <s v="North"/>
    <n v="5703.82"/>
    <n v="8"/>
    <n v="507.82"/>
    <n v="5196"/>
  </r>
  <r>
    <s v="ORD0150"/>
    <d v="2024-07-16T00:00:00"/>
    <s v="Jul"/>
    <x v="1"/>
    <s v="Mouse"/>
    <s v="Accessories"/>
    <s v="North"/>
    <n v="2844.74"/>
    <n v="3"/>
    <n v="743.58"/>
    <n v="2101.16"/>
  </r>
  <r>
    <s v="ORD0151"/>
    <d v="2023-05-05T00:00:00"/>
    <s v="May"/>
    <x v="0"/>
    <s v="Printer"/>
    <s v="Electronics"/>
    <s v="South"/>
    <n v="1046.69"/>
    <n v="1"/>
    <n v="779.05"/>
    <n v="267.6400000000001"/>
  </r>
  <r>
    <s v="ORD0152"/>
    <d v="2023-11-15T00:00:00"/>
    <s v="Nov"/>
    <x v="0"/>
    <s v="Mouse"/>
    <s v="Accessories"/>
    <s v="West"/>
    <n v="348.68"/>
    <n v="9"/>
    <n v="30.67"/>
    <n v="318.01"/>
  </r>
  <r>
    <s v="ORD0153"/>
    <d v="2024-04-17T00:00:00"/>
    <s v="Apr"/>
    <x v="1"/>
    <s v="Mouse"/>
    <s v="Accessories"/>
    <s v="East"/>
    <n v="1220.1600000000001"/>
    <n v="2"/>
    <n v="525.21"/>
    <n v="694.95"/>
  </r>
  <r>
    <s v="ORD0154"/>
    <d v="2024-06-05T00:00:00"/>
    <s v="Jun"/>
    <x v="1"/>
    <s v="Printer"/>
    <s v="Electronics"/>
    <s v="North"/>
    <n v="2224.48"/>
    <n v="5"/>
    <n v="344.08"/>
    <n v="1880.4"/>
  </r>
  <r>
    <s v="ORD0155"/>
    <d v="2024-04-12T00:00:00"/>
    <s v="Apr"/>
    <x v="1"/>
    <s v="Monitor"/>
    <s v="Electronics"/>
    <s v="West"/>
    <n v="1406.06"/>
    <n v="9"/>
    <n v="132.82"/>
    <n v="1273.24"/>
  </r>
  <r>
    <s v="ORD0156"/>
    <d v="2023-03-13T00:00:00"/>
    <s v="Mar"/>
    <x v="0"/>
    <s v="Headphones"/>
    <s v="Accessories"/>
    <s v="West"/>
    <n v="4488.8599999999997"/>
    <n v="5"/>
    <n v="622.69000000000005"/>
    <n v="3866.1699999999996"/>
  </r>
  <r>
    <s v="ORD0157"/>
    <d v="2023-01-03T00:00:00"/>
    <s v="Jan"/>
    <x v="0"/>
    <s v="Keyboard"/>
    <s v="Accessories"/>
    <s v="North"/>
    <n v="4206.82"/>
    <n v="5"/>
    <n v="586.32000000000005"/>
    <n v="3620.4999999999995"/>
  </r>
  <r>
    <s v="ORD0158"/>
    <d v="2023-06-02T00:00:00"/>
    <s v="Jun"/>
    <x v="0"/>
    <s v="Headphones"/>
    <s v="Accessories"/>
    <s v="South"/>
    <n v="4358.83"/>
    <n v="8"/>
    <n v="440.09"/>
    <n v="3918.74"/>
  </r>
  <r>
    <s v="ORD0159"/>
    <d v="2024-04-11T00:00:00"/>
    <s v="Apr"/>
    <x v="1"/>
    <s v="Headphones"/>
    <s v="Accessories"/>
    <s v="South"/>
    <n v="6252.39"/>
    <n v="6"/>
    <n v="698.29"/>
    <n v="5554.1"/>
  </r>
  <r>
    <s v="ORD0160"/>
    <d v="2023-08-28T00:00:00"/>
    <s v="Aug"/>
    <x v="0"/>
    <s v="Mouse"/>
    <s v="Accessories"/>
    <s v="South"/>
    <n v="528.79"/>
    <n v="7"/>
    <n v="54.04"/>
    <n v="474.74999999999994"/>
  </r>
  <r>
    <s v="ORD0161"/>
    <d v="2024-01-31T00:00:00"/>
    <s v="Jan"/>
    <x v="1"/>
    <s v="Printer"/>
    <s v="Electronics"/>
    <s v="South"/>
    <n v="1359.04"/>
    <n v="3"/>
    <n v="406.36"/>
    <n v="952.68"/>
  </r>
  <r>
    <s v="ORD0162"/>
    <d v="2023-04-13T00:00:00"/>
    <s v="Apr"/>
    <x v="0"/>
    <s v="Headphones"/>
    <s v="Accessories"/>
    <s v="North"/>
    <n v="1145.3399999999999"/>
    <n v="8"/>
    <n v="97.78"/>
    <n v="1047.56"/>
  </r>
  <r>
    <s v="ORD0163"/>
    <d v="2024-02-24T00:00:00"/>
    <s v="Feb"/>
    <x v="1"/>
    <s v="Laptop"/>
    <s v="Electronics"/>
    <s v="West"/>
    <n v="332.12"/>
    <n v="3"/>
    <n v="78.37"/>
    <n v="253.75"/>
  </r>
  <r>
    <s v="ORD0164"/>
    <d v="2024-09-30T00:00:00"/>
    <s v="Sep"/>
    <x v="1"/>
    <s v="Keyboard"/>
    <s v="Accessories"/>
    <s v="North"/>
    <n v="5313.45"/>
    <n v="7"/>
    <n v="526.87"/>
    <n v="4786.58"/>
  </r>
  <r>
    <s v="ORD0165"/>
    <d v="2023-11-21T00:00:00"/>
    <s v="Nov"/>
    <x v="0"/>
    <s v="Printer"/>
    <s v="Electronics"/>
    <s v="South"/>
    <n v="6244.51"/>
    <n v="8"/>
    <n v="700.46"/>
    <n v="5544.05"/>
  </r>
  <r>
    <s v="ORD0166"/>
    <d v="2024-10-08T00:00:00"/>
    <s v="Oct"/>
    <x v="1"/>
    <s v="Laptop"/>
    <s v="Electronics"/>
    <s v="West"/>
    <n v="5580.77"/>
    <n v="5"/>
    <n v="797.99"/>
    <n v="4782.7800000000007"/>
  </r>
  <r>
    <s v="ORD0167"/>
    <d v="2024-10-10T00:00:00"/>
    <s v="Oct"/>
    <x v="1"/>
    <s v="Monitor"/>
    <s v="Electronics"/>
    <s v="East"/>
    <n v="1008.6"/>
    <n v="2"/>
    <n v="366.07"/>
    <n v="642.53"/>
  </r>
  <r>
    <s v="ORD0168"/>
    <d v="2023-11-29T00:00:00"/>
    <s v="Nov"/>
    <x v="0"/>
    <s v="Laptop"/>
    <s v="Electronics"/>
    <s v="East"/>
    <n v="311.02"/>
    <n v="1"/>
    <n v="248.83"/>
    <n v="62.189999999999969"/>
  </r>
  <r>
    <s v="ORD0169"/>
    <d v="2024-06-27T00:00:00"/>
    <s v="Jun"/>
    <x v="1"/>
    <s v="Mouse"/>
    <s v="Accessories"/>
    <s v="West"/>
    <n v="4576.8500000000004"/>
    <n v="7"/>
    <n v="461.42"/>
    <n v="4115.43"/>
  </r>
  <r>
    <s v="ORD0170"/>
    <d v="2023-03-22T00:00:00"/>
    <s v="Mar"/>
    <x v="0"/>
    <s v="Mouse"/>
    <s v="Accessories"/>
    <s v="West"/>
    <n v="9425.08"/>
    <n v="10"/>
    <n v="699.25"/>
    <n v="8725.83"/>
  </r>
  <r>
    <s v="ORD0171"/>
    <d v="2024-08-20T00:00:00"/>
    <s v="Aug"/>
    <x v="1"/>
    <s v="Mouse"/>
    <s v="Accessories"/>
    <s v="South"/>
    <n v="817.61"/>
    <n v="3"/>
    <n v="201.11"/>
    <n v="616.5"/>
  </r>
  <r>
    <s v="ORD0172"/>
    <d v="2024-11-13T00:00:00"/>
    <s v="Nov"/>
    <x v="1"/>
    <s v="Monitor"/>
    <s v="Electronics"/>
    <s v="North"/>
    <n v="927.47"/>
    <n v="1"/>
    <n v="721.15"/>
    <n v="206.32000000000005"/>
  </r>
  <r>
    <s v="ORD0173"/>
    <d v="2023-03-17T00:00:00"/>
    <s v="Mar"/>
    <x v="0"/>
    <s v="Keyboard"/>
    <s v="Accessories"/>
    <s v="West"/>
    <n v="9057.44"/>
    <n v="8"/>
    <n v="757.28"/>
    <n v="8300.16"/>
  </r>
  <r>
    <s v="ORD0174"/>
    <d v="2024-12-07T00:00:00"/>
    <s v="Dec"/>
    <x v="1"/>
    <s v="Keyboard"/>
    <s v="Accessories"/>
    <s v="South"/>
    <n v="2297.21"/>
    <n v="5"/>
    <n v="376.33"/>
    <n v="1920.88"/>
  </r>
  <r>
    <s v="ORD0175"/>
    <d v="2023-04-20T00:00:00"/>
    <s v="Apr"/>
    <x v="0"/>
    <s v="Monitor"/>
    <s v="Electronics"/>
    <s v="South"/>
    <n v="1579.15"/>
    <n v="4"/>
    <n v="317.45999999999998"/>
    <n v="1261.69"/>
  </r>
  <r>
    <s v="ORD0176"/>
    <d v="2023-01-23T00:00:00"/>
    <s v="Jan"/>
    <x v="0"/>
    <s v="Keyboard"/>
    <s v="Accessories"/>
    <s v="North"/>
    <n v="2173.4299999999998"/>
    <n v="7"/>
    <n v="234.09"/>
    <n v="1939.34"/>
  </r>
  <r>
    <s v="ORD0177"/>
    <d v="2024-09-12T00:00:00"/>
    <s v="Sep"/>
    <x v="1"/>
    <s v="Printer"/>
    <s v="Electronics"/>
    <s v="East"/>
    <n v="7827.33"/>
    <n v="8"/>
    <n v="669.61"/>
    <n v="7157.72"/>
  </r>
  <r>
    <s v="ORD0178"/>
    <d v="2023-08-13T00:00:00"/>
    <s v="Aug"/>
    <x v="0"/>
    <s v="Mouse"/>
    <s v="Accessories"/>
    <s v="North"/>
    <n v="2765.79"/>
    <n v="4"/>
    <n v="504.3"/>
    <n v="2261.4899999999998"/>
  </r>
  <r>
    <s v="ORD0179"/>
    <d v="2024-10-05T00:00:00"/>
    <s v="Oct"/>
    <x v="1"/>
    <s v="Printer"/>
    <s v="Electronics"/>
    <s v="West"/>
    <n v="1968.93"/>
    <n v="2"/>
    <n v="724.65"/>
    <n v="1244.2800000000002"/>
  </r>
  <r>
    <s v="ORD0180"/>
    <d v="2023-02-04T00:00:00"/>
    <s v="Feb"/>
    <x v="0"/>
    <s v="Keyboard"/>
    <s v="Accessories"/>
    <s v="South"/>
    <n v="3510.6"/>
    <n v="10"/>
    <n v="304.58999999999997"/>
    <n v="3206.0099999999998"/>
  </r>
  <r>
    <s v="ORD0181"/>
    <d v="2024-03-01T00:00:00"/>
    <s v="Mar"/>
    <x v="1"/>
    <s v="Keyboard"/>
    <s v="Accessories"/>
    <s v="North"/>
    <n v="749.54"/>
    <n v="3"/>
    <n v="176.62"/>
    <n v="572.91999999999996"/>
  </r>
  <r>
    <s v="ORD0182"/>
    <d v="2023-06-18T00:00:00"/>
    <s v="Jun"/>
    <x v="0"/>
    <s v="Keyboard"/>
    <s v="Accessories"/>
    <s v="North"/>
    <n v="5415.38"/>
    <n v="5"/>
    <n v="732.96"/>
    <n v="4682.42"/>
  </r>
  <r>
    <s v="ORD0183"/>
    <d v="2023-04-28T00:00:00"/>
    <s v="Apr"/>
    <x v="0"/>
    <s v="Keyboard"/>
    <s v="Accessories"/>
    <s v="North"/>
    <n v="7132.63"/>
    <n v="8"/>
    <n v="771.06"/>
    <n v="6361.57"/>
  </r>
  <r>
    <s v="ORD0184"/>
    <d v="2024-07-24T00:00:00"/>
    <s v="Jul"/>
    <x v="1"/>
    <s v="Mouse"/>
    <s v="Accessories"/>
    <s v="South"/>
    <n v="682.55"/>
    <n v="6"/>
    <n v="90.44"/>
    <n v="592.1099999999999"/>
  </r>
  <r>
    <s v="ORD0185"/>
    <d v="2024-04-10T00:00:00"/>
    <s v="Apr"/>
    <x v="1"/>
    <s v="Keyboard"/>
    <s v="Accessories"/>
    <s v="East"/>
    <n v="4474.8599999999997"/>
    <n v="6"/>
    <n v="544.80999999999995"/>
    <n v="3930.0499999999997"/>
  </r>
  <r>
    <s v="ORD0186"/>
    <d v="2024-10-15T00:00:00"/>
    <s v="Oct"/>
    <x v="1"/>
    <s v="Headphones"/>
    <s v="Accessories"/>
    <s v="South"/>
    <n v="748.41"/>
    <n v="6"/>
    <n v="104.51"/>
    <n v="643.9"/>
  </r>
  <r>
    <s v="ORD0187"/>
    <d v="2024-09-16T00:00:00"/>
    <s v="Sep"/>
    <x v="1"/>
    <s v="Laptop"/>
    <s v="Electronics"/>
    <s v="North"/>
    <n v="2844.66"/>
    <n v="4"/>
    <n v="525.16999999999996"/>
    <n v="2319.4899999999998"/>
  </r>
  <r>
    <s v="ORD0188"/>
    <d v="2024-10-26T00:00:00"/>
    <s v="Oct"/>
    <x v="1"/>
    <s v="Monitor"/>
    <s v="Electronics"/>
    <s v="North"/>
    <n v="868.87"/>
    <n v="7"/>
    <n v="111.01"/>
    <n v="757.86"/>
  </r>
  <r>
    <s v="ORD0189"/>
    <d v="2024-05-19T00:00:00"/>
    <s v="May"/>
    <x v="1"/>
    <s v="Laptop"/>
    <s v="Electronics"/>
    <s v="North"/>
    <n v="278.79000000000002"/>
    <n v="2"/>
    <n v="95.81"/>
    <n v="182.98000000000002"/>
  </r>
  <r>
    <s v="ORD0190"/>
    <d v="2024-04-09T00:00:00"/>
    <s v="Apr"/>
    <x v="1"/>
    <s v="Mouse"/>
    <s v="Accessories"/>
    <s v="South"/>
    <n v="4552.09"/>
    <n v="6"/>
    <n v="542.98"/>
    <n v="4009.11"/>
  </r>
  <r>
    <s v="ORD0191"/>
    <d v="2024-08-24T00:00:00"/>
    <s v="Aug"/>
    <x v="1"/>
    <s v="Headphones"/>
    <s v="Accessories"/>
    <s v="South"/>
    <n v="2903.53"/>
    <n v="3"/>
    <n v="710.62"/>
    <n v="2192.9100000000003"/>
  </r>
  <r>
    <s v="ORD0192"/>
    <d v="2023-10-14T00:00:00"/>
    <s v="Oct"/>
    <x v="0"/>
    <s v="Monitor"/>
    <s v="Electronics"/>
    <s v="South"/>
    <n v="662.79"/>
    <n v="1"/>
    <n v="558.41999999999996"/>
    <n v="104.37"/>
  </r>
  <r>
    <s v="ORD0193"/>
    <d v="2024-01-07T00:00:00"/>
    <s v="Jan"/>
    <x v="1"/>
    <s v="Monitor"/>
    <s v="Electronics"/>
    <s v="West"/>
    <n v="1957.99"/>
    <n v="2"/>
    <n v="785.12"/>
    <n v="1172.8699999999999"/>
  </r>
  <r>
    <s v="ORD0194"/>
    <d v="2023-03-04T00:00:00"/>
    <s v="Mar"/>
    <x v="0"/>
    <s v="Printer"/>
    <s v="Electronics"/>
    <s v="North"/>
    <n v="2448.56"/>
    <n v="7"/>
    <n v="235.19"/>
    <n v="2213.37"/>
  </r>
  <r>
    <s v="ORD0195"/>
    <d v="2024-11-09T00:00:00"/>
    <s v="Nov"/>
    <x v="1"/>
    <s v="Monitor"/>
    <s v="Electronics"/>
    <s v="East"/>
    <n v="2787.66"/>
    <n v="4"/>
    <n v="520.53"/>
    <n v="2267.13"/>
  </r>
  <r>
    <s v="ORD0196"/>
    <d v="2023-12-08T00:00:00"/>
    <s v="Dec"/>
    <x v="0"/>
    <s v="Laptop"/>
    <s v="Electronics"/>
    <s v="East"/>
    <n v="4477.9799999999996"/>
    <n v="4"/>
    <n v="791.28"/>
    <n v="3686.7"/>
  </r>
  <r>
    <s v="ORD0197"/>
    <d v="2024-07-21T00:00:00"/>
    <s v="Jul"/>
    <x v="1"/>
    <s v="Mouse"/>
    <s v="Accessories"/>
    <s v="East"/>
    <n v="2721.49"/>
    <n v="4"/>
    <n v="477.38"/>
    <n v="2244.1099999999997"/>
  </r>
  <r>
    <s v="ORD0198"/>
    <d v="2023-06-01T00:00:00"/>
    <s v="Jun"/>
    <x v="0"/>
    <s v="Mouse"/>
    <s v="Accessories"/>
    <s v="North"/>
    <n v="320.57"/>
    <n v="10"/>
    <n v="22.21"/>
    <n v="298.36"/>
  </r>
  <r>
    <s v="ORD0199"/>
    <d v="2024-07-07T00:00:00"/>
    <s v="Jul"/>
    <x v="1"/>
    <s v="Mouse"/>
    <s v="Accessories"/>
    <s v="West"/>
    <n v="3676.95"/>
    <n v="5"/>
    <n v="642.84"/>
    <n v="3034.1099999999997"/>
  </r>
  <r>
    <s v="ORD0200"/>
    <d v="2023-01-16T00:00:00"/>
    <s v="Jan"/>
    <x v="0"/>
    <s v="Laptop"/>
    <s v="Electronics"/>
    <s v="West"/>
    <n v="4562.1400000000003"/>
    <n v="6"/>
    <n v="636.19000000000005"/>
    <n v="3925.9500000000003"/>
  </r>
  <r>
    <s v="ORD0201"/>
    <d v="2023-06-28T00:00:00"/>
    <s v="Jun"/>
    <x v="0"/>
    <s v="Keyboard"/>
    <s v="Accessories"/>
    <s v="East"/>
    <n v="425.08"/>
    <n v="5"/>
    <n v="60.87"/>
    <n v="364.21"/>
  </r>
  <r>
    <s v="ORD0202"/>
    <d v="2023-03-07T00:00:00"/>
    <s v="Mar"/>
    <x v="0"/>
    <s v="Headphones"/>
    <s v="Accessories"/>
    <s v="East"/>
    <n v="3681.17"/>
    <n v="8"/>
    <n v="369.65"/>
    <n v="3311.52"/>
  </r>
  <r>
    <s v="ORD0203"/>
    <d v="2024-04-07T00:00:00"/>
    <s v="Apr"/>
    <x v="1"/>
    <s v="Headphones"/>
    <s v="Accessories"/>
    <s v="East"/>
    <n v="2335.77"/>
    <n v="9"/>
    <n v="192.81"/>
    <n v="2142.96"/>
  </r>
  <r>
    <s v="ORD0204"/>
    <d v="2024-04-14T00:00:00"/>
    <s v="Apr"/>
    <x v="1"/>
    <s v="Printer"/>
    <s v="Electronics"/>
    <s v="North"/>
    <n v="87.11"/>
    <n v="1"/>
    <n v="67.44"/>
    <n v="19.670000000000002"/>
  </r>
  <r>
    <s v="ORD0205"/>
    <d v="2024-12-03T00:00:00"/>
    <s v="Dec"/>
    <x v="1"/>
    <s v="Monitor"/>
    <s v="Electronics"/>
    <s v="South"/>
    <n v="1178.1600000000001"/>
    <n v="2"/>
    <n v="402.41"/>
    <n v="775.75"/>
  </r>
  <r>
    <s v="ORD0206"/>
    <d v="2023-11-26T00:00:00"/>
    <s v="Nov"/>
    <x v="0"/>
    <s v="Laptop"/>
    <s v="Electronics"/>
    <s v="East"/>
    <n v="1561.2"/>
    <n v="10"/>
    <n v="135.69999999999999"/>
    <n v="1425.5"/>
  </r>
  <r>
    <s v="ORD0207"/>
    <d v="2024-01-26T00:00:00"/>
    <s v="Jan"/>
    <x v="1"/>
    <s v="Headphones"/>
    <s v="Accessories"/>
    <s v="North"/>
    <n v="5559.47"/>
    <n v="10"/>
    <n v="433.83"/>
    <n v="5125.6400000000003"/>
  </r>
  <r>
    <s v="ORD0208"/>
    <d v="2023-04-12T00:00:00"/>
    <s v="Apr"/>
    <x v="0"/>
    <s v="Headphones"/>
    <s v="Accessories"/>
    <s v="South"/>
    <n v="1864.19"/>
    <n v="2"/>
    <n v="685.18"/>
    <n v="1179.0100000000002"/>
  </r>
  <r>
    <s v="ORD0209"/>
    <d v="2024-03-16T00:00:00"/>
    <s v="Mar"/>
    <x v="1"/>
    <s v="Headphones"/>
    <s v="Accessories"/>
    <s v="West"/>
    <n v="7215.62"/>
    <n v="8"/>
    <n v="712.71"/>
    <n v="6502.91"/>
  </r>
  <r>
    <s v="ORD0210"/>
    <d v="2024-03-01T00:00:00"/>
    <s v="Mar"/>
    <x v="1"/>
    <s v="Monitor"/>
    <s v="Electronics"/>
    <s v="South"/>
    <n v="646.29"/>
    <n v="2"/>
    <n v="263.79000000000002"/>
    <n v="382.49999999999994"/>
  </r>
  <r>
    <s v="ORD0211"/>
    <d v="2023-06-06T00:00:00"/>
    <s v="Jun"/>
    <x v="0"/>
    <s v="Keyboard"/>
    <s v="Accessories"/>
    <s v="North"/>
    <n v="829.37"/>
    <n v="8"/>
    <n v="72.36"/>
    <n v="757.01"/>
  </r>
  <r>
    <s v="ORD0212"/>
    <d v="2023-04-09T00:00:00"/>
    <s v="Apr"/>
    <x v="0"/>
    <s v="Laptop"/>
    <s v="Electronics"/>
    <s v="South"/>
    <n v="5183.17"/>
    <n v="6"/>
    <n v="653.17999999999995"/>
    <n v="4529.99"/>
  </r>
  <r>
    <s v="ORD0213"/>
    <d v="2024-11-17T00:00:00"/>
    <s v="Nov"/>
    <x v="1"/>
    <s v="Headphones"/>
    <s v="Accessories"/>
    <s v="North"/>
    <n v="986.87"/>
    <n v="2"/>
    <n v="340.43"/>
    <n v="646.44000000000005"/>
  </r>
  <r>
    <s v="ORD0214"/>
    <d v="2023-10-22T00:00:00"/>
    <s v="Oct"/>
    <x v="0"/>
    <s v="Monitor"/>
    <s v="Electronics"/>
    <s v="East"/>
    <n v="3010.09"/>
    <n v="10"/>
    <n v="263.70999999999998"/>
    <n v="2746.38"/>
  </r>
  <r>
    <s v="ORD0215"/>
    <d v="2023-06-08T00:00:00"/>
    <s v="Jun"/>
    <x v="0"/>
    <s v="Headphones"/>
    <s v="Accessories"/>
    <s v="West"/>
    <n v="1782.71"/>
    <n v="8"/>
    <n v="194.91"/>
    <n v="1587.8"/>
  </r>
  <r>
    <s v="ORD0216"/>
    <d v="2023-04-28T00:00:00"/>
    <s v="Apr"/>
    <x v="0"/>
    <s v="Headphones"/>
    <s v="Accessories"/>
    <s v="North"/>
    <n v="3328.14"/>
    <n v="5"/>
    <n v="467.8"/>
    <n v="2860.3399999999997"/>
  </r>
  <r>
    <s v="ORD0217"/>
    <d v="2024-09-15T00:00:00"/>
    <s v="Sep"/>
    <x v="1"/>
    <s v="Headphones"/>
    <s v="Accessories"/>
    <s v="East"/>
    <n v="257.45999999999998"/>
    <n v="5"/>
    <n v="42.58"/>
    <n v="214.88"/>
  </r>
  <r>
    <s v="ORD0218"/>
    <d v="2023-12-26T00:00:00"/>
    <s v="Dec"/>
    <x v="0"/>
    <s v="Keyboard"/>
    <s v="Accessories"/>
    <s v="North"/>
    <n v="186.9"/>
    <n v="1"/>
    <n v="161.5"/>
    <n v="25.400000000000006"/>
  </r>
  <r>
    <s v="ORD0219"/>
    <d v="2023-03-13T00:00:00"/>
    <s v="Mar"/>
    <x v="0"/>
    <s v="Printer"/>
    <s v="Electronics"/>
    <s v="South"/>
    <n v="2670.59"/>
    <n v="3"/>
    <n v="597.96"/>
    <n v="2072.63"/>
  </r>
  <r>
    <s v="ORD0220"/>
    <d v="2024-01-21T00:00:00"/>
    <s v="Jan"/>
    <x v="1"/>
    <s v="Laptop"/>
    <s v="Electronics"/>
    <s v="West"/>
    <n v="3043.34"/>
    <n v="7"/>
    <n v="373.84"/>
    <n v="2669.5"/>
  </r>
  <r>
    <s v="ORD0221"/>
    <d v="2024-08-04T00:00:00"/>
    <s v="Aug"/>
    <x v="1"/>
    <s v="Keyboard"/>
    <s v="Accessories"/>
    <s v="North"/>
    <n v="967.12"/>
    <n v="10"/>
    <n v="86.27"/>
    <n v="880.85"/>
  </r>
  <r>
    <s v="ORD0222"/>
    <d v="2024-11-21T00:00:00"/>
    <s v="Nov"/>
    <x v="1"/>
    <s v="Mouse"/>
    <s v="Accessories"/>
    <s v="East"/>
    <n v="633.91"/>
    <n v="2"/>
    <n v="232.24"/>
    <n v="401.66999999999996"/>
  </r>
  <r>
    <s v="ORD0223"/>
    <d v="2024-02-29T00:00:00"/>
    <s v="Feb"/>
    <x v="1"/>
    <s v="Monitor"/>
    <s v="Electronics"/>
    <s v="South"/>
    <n v="1227.56"/>
    <n v="5"/>
    <n v="188.14"/>
    <n v="1039.42"/>
  </r>
  <r>
    <s v="ORD0224"/>
    <d v="2023-04-24T00:00:00"/>
    <s v="Apr"/>
    <x v="0"/>
    <s v="Keyboard"/>
    <s v="Accessories"/>
    <s v="South"/>
    <n v="3670.83"/>
    <n v="5"/>
    <n v="549.01"/>
    <n v="3121.8199999999997"/>
  </r>
  <r>
    <s v="ORD0225"/>
    <d v="2023-02-16T00:00:00"/>
    <s v="Feb"/>
    <x v="0"/>
    <s v="Headphones"/>
    <s v="Accessories"/>
    <s v="North"/>
    <n v="1759.39"/>
    <n v="4"/>
    <n v="328.31"/>
    <n v="1431.0800000000002"/>
  </r>
  <r>
    <s v="ORD0226"/>
    <d v="2023-11-05T00:00:00"/>
    <s v="Nov"/>
    <x v="0"/>
    <s v="Laptop"/>
    <s v="Electronics"/>
    <s v="West"/>
    <n v="3477.78"/>
    <n v="4"/>
    <n v="618.53"/>
    <n v="2859.25"/>
  </r>
  <r>
    <s v="ORD0227"/>
    <d v="2023-05-03T00:00:00"/>
    <s v="May"/>
    <x v="0"/>
    <s v="Keyboard"/>
    <s v="Accessories"/>
    <s v="North"/>
    <n v="519.03"/>
    <n v="1"/>
    <n v="407.96"/>
    <n v="111.07"/>
  </r>
  <r>
    <s v="ORD0228"/>
    <d v="2024-06-29T00:00:00"/>
    <s v="Jun"/>
    <x v="1"/>
    <s v="Mouse"/>
    <s v="Accessories"/>
    <s v="South"/>
    <n v="2351.83"/>
    <n v="4"/>
    <n v="410.2"/>
    <n v="1941.6299999999999"/>
  </r>
  <r>
    <s v="ORD0229"/>
    <d v="2024-02-11T00:00:00"/>
    <s v="Feb"/>
    <x v="1"/>
    <s v="Keyboard"/>
    <s v="Accessories"/>
    <s v="East"/>
    <n v="462.53"/>
    <n v="1"/>
    <n v="360.25"/>
    <n v="102.27999999999997"/>
  </r>
  <r>
    <s v="ORD0230"/>
    <d v="2024-08-12T00:00:00"/>
    <s v="Aug"/>
    <x v="1"/>
    <s v="Laptop"/>
    <s v="Electronics"/>
    <s v="North"/>
    <n v="4526.0600000000004"/>
    <n v="7"/>
    <n v="467.25"/>
    <n v="4058.8100000000004"/>
  </r>
  <r>
    <s v="ORD0231"/>
    <d v="2023-04-28T00:00:00"/>
    <s v="Apr"/>
    <x v="0"/>
    <s v="Monitor"/>
    <s v="Electronics"/>
    <s v="North"/>
    <n v="312.26"/>
    <n v="7"/>
    <n v="36.270000000000003"/>
    <n v="275.99"/>
  </r>
  <r>
    <s v="ORD0232"/>
    <d v="2024-12-07T00:00:00"/>
    <s v="Dec"/>
    <x v="1"/>
    <s v="Headphones"/>
    <s v="Accessories"/>
    <s v="South"/>
    <n v="765.54"/>
    <n v="6"/>
    <n v="88.74"/>
    <n v="676.8"/>
  </r>
  <r>
    <s v="ORD0233"/>
    <d v="2024-08-26T00:00:00"/>
    <s v="Aug"/>
    <x v="1"/>
    <s v="Mouse"/>
    <s v="Accessories"/>
    <s v="South"/>
    <n v="3775.96"/>
    <n v="7"/>
    <n v="428.69"/>
    <n v="3347.27"/>
  </r>
  <r>
    <s v="ORD0234"/>
    <d v="2023-08-15T00:00:00"/>
    <s v="Aug"/>
    <x v="0"/>
    <s v="Keyboard"/>
    <s v="Accessories"/>
    <s v="North"/>
    <n v="4257.95"/>
    <n v="6"/>
    <n v="627.71"/>
    <n v="3630.24"/>
  </r>
  <r>
    <s v="ORD0235"/>
    <d v="2024-06-27T00:00:00"/>
    <s v="Jun"/>
    <x v="1"/>
    <s v="Printer"/>
    <s v="Electronics"/>
    <s v="East"/>
    <n v="2173.79"/>
    <n v="9"/>
    <n v="171.24"/>
    <n v="2002.55"/>
  </r>
  <r>
    <s v="ORD0236"/>
    <d v="2023-08-30T00:00:00"/>
    <s v="Aug"/>
    <x v="0"/>
    <s v="Keyboard"/>
    <s v="Accessories"/>
    <s v="West"/>
    <n v="316.49"/>
    <n v="2"/>
    <n v="134.22999999999999"/>
    <n v="182.26000000000002"/>
  </r>
  <r>
    <s v="ORD0237"/>
    <d v="2024-11-02T00:00:00"/>
    <s v="Nov"/>
    <x v="1"/>
    <s v="Headphones"/>
    <s v="Accessories"/>
    <s v="West"/>
    <n v="445.77"/>
    <n v="2"/>
    <n v="158.16999999999999"/>
    <n v="287.60000000000002"/>
  </r>
  <r>
    <s v="ORD0238"/>
    <d v="2024-07-31T00:00:00"/>
    <s v="Jul"/>
    <x v="1"/>
    <s v="Monitor"/>
    <s v="Electronics"/>
    <s v="South"/>
    <n v="5439.95"/>
    <n v="10"/>
    <n v="370.15"/>
    <n v="5069.8"/>
  </r>
  <r>
    <s v="ORD0239"/>
    <d v="2024-10-04T00:00:00"/>
    <s v="Oct"/>
    <x v="1"/>
    <s v="Headphones"/>
    <s v="Accessories"/>
    <s v="North"/>
    <n v="931.73"/>
    <n v="6"/>
    <n v="137.75"/>
    <n v="793.98"/>
  </r>
  <r>
    <s v="ORD0240"/>
    <d v="2023-10-09T00:00:00"/>
    <s v="Oct"/>
    <x v="0"/>
    <s v="Monitor"/>
    <s v="Electronics"/>
    <s v="North"/>
    <n v="831.4"/>
    <n v="10"/>
    <n v="63.81"/>
    <n v="767.58999999999992"/>
  </r>
  <r>
    <s v="ORD0241"/>
    <d v="2024-04-07T00:00:00"/>
    <s v="Apr"/>
    <x v="1"/>
    <s v="Keyboard"/>
    <s v="Accessories"/>
    <s v="South"/>
    <n v="92.22"/>
    <n v="1"/>
    <n v="64.37"/>
    <n v="27.849999999999994"/>
  </r>
  <r>
    <s v="ORD0242"/>
    <d v="2024-09-21T00:00:00"/>
    <s v="Sep"/>
    <x v="1"/>
    <s v="Laptop"/>
    <s v="Electronics"/>
    <s v="East"/>
    <n v="5339.66"/>
    <n v="10"/>
    <n v="415.51"/>
    <n v="4924.1499999999996"/>
  </r>
  <r>
    <s v="ORD0243"/>
    <d v="2024-04-05T00:00:00"/>
    <s v="Apr"/>
    <x v="1"/>
    <s v="Headphones"/>
    <s v="Accessories"/>
    <s v="East"/>
    <n v="6492.35"/>
    <n v="10"/>
    <n v="528.42999999999995"/>
    <n v="5963.92"/>
  </r>
  <r>
    <s v="ORD0244"/>
    <d v="2023-03-05T00:00:00"/>
    <s v="Mar"/>
    <x v="0"/>
    <s v="Monitor"/>
    <s v="Electronics"/>
    <s v="West"/>
    <n v="1176.24"/>
    <n v="8"/>
    <n v="100.73"/>
    <n v="1075.51"/>
  </r>
  <r>
    <s v="ORD0245"/>
    <d v="2024-05-31T00:00:00"/>
    <s v="May"/>
    <x v="1"/>
    <s v="Keyboard"/>
    <s v="Accessories"/>
    <s v="East"/>
    <n v="209.66"/>
    <n v="3"/>
    <n v="50.53"/>
    <n v="159.13"/>
  </r>
  <r>
    <s v="ORD0246"/>
    <d v="2024-01-08T00:00:00"/>
    <s v="Jan"/>
    <x v="1"/>
    <s v="Monitor"/>
    <s v="Electronics"/>
    <s v="West"/>
    <n v="5541.86"/>
    <n v="6"/>
    <n v="735.99"/>
    <n v="4805.87"/>
  </r>
  <r>
    <s v="ORD0247"/>
    <d v="2024-10-08T00:00:00"/>
    <s v="Oct"/>
    <x v="1"/>
    <s v="Keyboard"/>
    <s v="Accessories"/>
    <s v="East"/>
    <n v="487.5"/>
    <n v="6"/>
    <n v="71.41"/>
    <n v="416.09000000000003"/>
  </r>
  <r>
    <s v="ORD0248"/>
    <d v="2023-10-18T00:00:00"/>
    <s v="Oct"/>
    <x v="0"/>
    <s v="Printer"/>
    <s v="Electronics"/>
    <s v="South"/>
    <n v="3982.34"/>
    <n v="5"/>
    <n v="584.51"/>
    <n v="3397.83"/>
  </r>
  <r>
    <s v="ORD0249"/>
    <d v="2023-12-08T00:00:00"/>
    <s v="Dec"/>
    <x v="0"/>
    <s v="Headphones"/>
    <s v="Accessories"/>
    <s v="West"/>
    <n v="1097.68"/>
    <n v="2"/>
    <n v="474.54"/>
    <n v="623.1400000000001"/>
  </r>
  <r>
    <s v="ORD0250"/>
    <d v="2024-11-02T00:00:00"/>
    <s v="Nov"/>
    <x v="1"/>
    <s v="Keyboard"/>
    <s v="Accessories"/>
    <s v="North"/>
    <n v="1167.79"/>
    <n v="7"/>
    <n v="120.58"/>
    <n v="1047.21"/>
  </r>
  <r>
    <s v="ORD0251"/>
    <d v="2024-07-26T00:00:00"/>
    <s v="Jul"/>
    <x v="1"/>
    <s v="Laptop"/>
    <s v="Electronics"/>
    <s v="North"/>
    <n v="4498.8100000000004"/>
    <n v="7"/>
    <n v="521.91999999999996"/>
    <n v="3976.8900000000003"/>
  </r>
  <r>
    <s v="ORD0252"/>
    <d v="2024-10-23T00:00:00"/>
    <s v="Oct"/>
    <x v="1"/>
    <s v="Mouse"/>
    <s v="Accessories"/>
    <s v="East"/>
    <n v="3229.24"/>
    <n v="7"/>
    <n v="416.62"/>
    <n v="2812.62"/>
  </r>
  <r>
    <s v="ORD0253"/>
    <d v="2023-08-08T00:00:00"/>
    <s v="Aug"/>
    <x v="0"/>
    <s v="Keyboard"/>
    <s v="Accessories"/>
    <s v="West"/>
    <n v="5896.59"/>
    <n v="6"/>
    <n v="759.18"/>
    <n v="5137.41"/>
  </r>
  <r>
    <s v="ORD0254"/>
    <d v="2023-06-08T00:00:00"/>
    <s v="Jun"/>
    <x v="0"/>
    <s v="Mouse"/>
    <s v="Accessories"/>
    <s v="West"/>
    <n v="709.66"/>
    <n v="2"/>
    <n v="250.72"/>
    <n v="458.93999999999994"/>
  </r>
  <r>
    <s v="ORD0255"/>
    <d v="2024-11-08T00:00:00"/>
    <s v="Nov"/>
    <x v="1"/>
    <s v="Headphones"/>
    <s v="Accessories"/>
    <s v="East"/>
    <n v="5687.31"/>
    <n v="6"/>
    <n v="703.59"/>
    <n v="4983.72"/>
  </r>
  <r>
    <s v="ORD0256"/>
    <d v="2023-06-07T00:00:00"/>
    <s v="Jun"/>
    <x v="0"/>
    <s v="Headphones"/>
    <s v="Accessories"/>
    <s v="South"/>
    <n v="665.41"/>
    <n v="3"/>
    <n v="161.06"/>
    <n v="504.34999999999997"/>
  </r>
  <r>
    <s v="ORD0257"/>
    <d v="2024-03-24T00:00:00"/>
    <s v="Mar"/>
    <x v="1"/>
    <s v="Headphones"/>
    <s v="Accessories"/>
    <s v="West"/>
    <n v="466.63"/>
    <n v="1"/>
    <n v="340.47"/>
    <n v="126.15999999999997"/>
  </r>
  <r>
    <s v="ORD0258"/>
    <d v="2024-09-17T00:00:00"/>
    <s v="Sep"/>
    <x v="1"/>
    <s v="Mouse"/>
    <s v="Accessories"/>
    <s v="South"/>
    <n v="4289.1099999999997"/>
    <n v="5"/>
    <n v="606.87"/>
    <n v="3682.24"/>
  </r>
  <r>
    <s v="ORD0259"/>
    <d v="2023-11-13T00:00:00"/>
    <s v="Nov"/>
    <x v="0"/>
    <s v="Mouse"/>
    <s v="Accessories"/>
    <s v="West"/>
    <n v="6831.06"/>
    <n v="8"/>
    <n v="725.1"/>
    <n v="6105.96"/>
  </r>
  <r>
    <s v="ORD0260"/>
    <d v="2024-04-17T00:00:00"/>
    <s v="Apr"/>
    <x v="1"/>
    <s v="Printer"/>
    <s v="Electronics"/>
    <s v="South"/>
    <n v="4078.75"/>
    <n v="5"/>
    <n v="626.94000000000005"/>
    <n v="3451.81"/>
  </r>
  <r>
    <s v="ORD0261"/>
    <d v="2023-07-24T00:00:00"/>
    <s v="Jul"/>
    <x v="0"/>
    <s v="Monitor"/>
    <s v="Electronics"/>
    <s v="West"/>
    <n v="1535.4"/>
    <n v="10"/>
    <n v="127.95"/>
    <n v="1407.45"/>
  </r>
  <r>
    <s v="ORD0262"/>
    <d v="2024-01-16T00:00:00"/>
    <s v="Jan"/>
    <x v="1"/>
    <s v="Printer"/>
    <s v="Electronics"/>
    <s v="South"/>
    <n v="9330.2099999999991"/>
    <n v="9"/>
    <n v="748.75"/>
    <n v="8581.4599999999991"/>
  </r>
  <r>
    <s v="ORD0263"/>
    <d v="2023-10-19T00:00:00"/>
    <s v="Oct"/>
    <x v="0"/>
    <s v="Headphones"/>
    <s v="Accessories"/>
    <s v="East"/>
    <n v="1487.77"/>
    <n v="2"/>
    <n v="615.23"/>
    <n v="872.54"/>
  </r>
  <r>
    <s v="ORD0264"/>
    <d v="2024-03-23T00:00:00"/>
    <s v="Mar"/>
    <x v="1"/>
    <s v="Headphones"/>
    <s v="Accessories"/>
    <s v="West"/>
    <n v="1802.72"/>
    <n v="2"/>
    <n v="758.2"/>
    <n v="1044.52"/>
  </r>
  <r>
    <s v="ORD0265"/>
    <d v="2023-01-28T00:00:00"/>
    <s v="Jan"/>
    <x v="0"/>
    <s v="Monitor"/>
    <s v="Electronics"/>
    <s v="North"/>
    <n v="560.36"/>
    <n v="7"/>
    <n v="61.54"/>
    <n v="498.82"/>
  </r>
  <r>
    <s v="ORD0266"/>
    <d v="2023-03-25T00:00:00"/>
    <s v="Mar"/>
    <x v="0"/>
    <s v="Mouse"/>
    <s v="Accessories"/>
    <s v="South"/>
    <n v="1437.18"/>
    <n v="6"/>
    <n v="195.14"/>
    <n v="1242.04"/>
  </r>
  <r>
    <s v="ORD0267"/>
    <d v="2023-05-30T00:00:00"/>
    <s v="May"/>
    <x v="0"/>
    <s v="Laptop"/>
    <s v="Electronics"/>
    <s v="North"/>
    <n v="219.52"/>
    <n v="3"/>
    <n v="49.88"/>
    <n v="169.64000000000001"/>
  </r>
  <r>
    <s v="ORD0268"/>
    <d v="2024-12-23T00:00:00"/>
    <s v="Dec"/>
    <x v="1"/>
    <s v="Monitor"/>
    <s v="Electronics"/>
    <s v="West"/>
    <n v="3261.42"/>
    <n v="8"/>
    <n v="369.91"/>
    <n v="2891.51"/>
  </r>
  <r>
    <s v="ORD0269"/>
    <d v="2023-09-20T00:00:00"/>
    <s v="Sep"/>
    <x v="0"/>
    <s v="Laptop"/>
    <s v="Electronics"/>
    <s v="East"/>
    <n v="3543.02"/>
    <n v="4"/>
    <n v="671.27"/>
    <n v="2871.75"/>
  </r>
  <r>
    <s v="ORD0270"/>
    <d v="2023-04-24T00:00:00"/>
    <s v="Apr"/>
    <x v="0"/>
    <s v="Printer"/>
    <s v="Electronics"/>
    <s v="South"/>
    <n v="1179.53"/>
    <n v="5"/>
    <n v="205.36"/>
    <n v="974.17"/>
  </r>
  <r>
    <s v="ORD0271"/>
    <d v="2024-10-16T00:00:00"/>
    <s v="Oct"/>
    <x v="1"/>
    <s v="Mouse"/>
    <s v="Accessories"/>
    <s v="South"/>
    <n v="4309.0200000000004"/>
    <n v="10"/>
    <n v="376.55"/>
    <n v="3932.4700000000003"/>
  </r>
  <r>
    <s v="ORD0272"/>
    <d v="2024-10-09T00:00:00"/>
    <s v="Oct"/>
    <x v="1"/>
    <s v="Monitor"/>
    <s v="Electronics"/>
    <s v="East"/>
    <n v="5850.55"/>
    <n v="9"/>
    <n v="468.54"/>
    <n v="5382.01"/>
  </r>
  <r>
    <s v="ORD0273"/>
    <d v="2023-01-02T00:00:00"/>
    <s v="Jan"/>
    <x v="0"/>
    <s v="Keyboard"/>
    <s v="Accessories"/>
    <s v="South"/>
    <n v="3921.04"/>
    <n v="10"/>
    <n v="295.2"/>
    <n v="3625.84"/>
  </r>
  <r>
    <s v="ORD0274"/>
    <d v="2024-06-20T00:00:00"/>
    <s v="Jun"/>
    <x v="1"/>
    <s v="Mouse"/>
    <s v="Accessories"/>
    <s v="East"/>
    <n v="572.30999999999995"/>
    <n v="6"/>
    <n v="72.790000000000006"/>
    <n v="499.51999999999992"/>
  </r>
  <r>
    <s v="ORD0275"/>
    <d v="2024-02-04T00:00:00"/>
    <s v="Feb"/>
    <x v="1"/>
    <s v="Headphones"/>
    <s v="Accessories"/>
    <s v="East"/>
    <n v="541.65"/>
    <n v="8"/>
    <n v="53.96"/>
    <n v="487.69"/>
  </r>
  <r>
    <s v="ORD0276"/>
    <d v="2023-01-17T00:00:00"/>
    <s v="Jan"/>
    <x v="0"/>
    <s v="Keyboard"/>
    <s v="Accessories"/>
    <s v="North"/>
    <n v="4716.8500000000004"/>
    <n v="6"/>
    <n v="635.04999999999995"/>
    <n v="4081.8"/>
  </r>
  <r>
    <s v="ORD0277"/>
    <d v="2024-08-18T00:00:00"/>
    <s v="Aug"/>
    <x v="1"/>
    <s v="Printer"/>
    <s v="Electronics"/>
    <s v="East"/>
    <n v="923.69"/>
    <n v="6"/>
    <n v="124.06"/>
    <n v="799.63000000000011"/>
  </r>
  <r>
    <s v="ORD0278"/>
    <d v="2024-12-02T00:00:00"/>
    <s v="Dec"/>
    <x v="1"/>
    <s v="Keyboard"/>
    <s v="Accessories"/>
    <s v="West"/>
    <n v="8110.48"/>
    <n v="8"/>
    <n v="785.04"/>
    <n v="7325.44"/>
  </r>
  <r>
    <s v="ORD0279"/>
    <d v="2023-03-06T00:00:00"/>
    <s v="Mar"/>
    <x v="0"/>
    <s v="Mouse"/>
    <s v="Accessories"/>
    <s v="West"/>
    <n v="461.39"/>
    <n v="8"/>
    <n v="48.85"/>
    <n v="412.53999999999996"/>
  </r>
  <r>
    <s v="ORD0280"/>
    <d v="2023-11-20T00:00:00"/>
    <s v="Nov"/>
    <x v="0"/>
    <s v="Mouse"/>
    <s v="Accessories"/>
    <s v="East"/>
    <n v="3155.82"/>
    <n v="5"/>
    <n v="422"/>
    <n v="2733.82"/>
  </r>
  <r>
    <s v="ORD0281"/>
    <d v="2023-09-17T00:00:00"/>
    <s v="Sep"/>
    <x v="0"/>
    <s v="Headphones"/>
    <s v="Accessories"/>
    <s v="South"/>
    <n v="714.77"/>
    <n v="1"/>
    <n v="607.57000000000005"/>
    <n v="107.19999999999993"/>
  </r>
  <r>
    <s v="ORD0282"/>
    <d v="2024-11-02T00:00:00"/>
    <s v="Nov"/>
    <x v="1"/>
    <s v="Keyboard"/>
    <s v="Accessories"/>
    <s v="East"/>
    <n v="1985.73"/>
    <n v="6"/>
    <n v="233.11"/>
    <n v="1752.62"/>
  </r>
  <r>
    <s v="ORD0283"/>
    <d v="2024-03-26T00:00:00"/>
    <s v="Mar"/>
    <x v="1"/>
    <s v="Monitor"/>
    <s v="Electronics"/>
    <s v="South"/>
    <n v="2339.06"/>
    <n v="7"/>
    <n v="284.45"/>
    <n v="2054.61"/>
  </r>
  <r>
    <s v="ORD0284"/>
    <d v="2024-01-12T00:00:00"/>
    <s v="Jan"/>
    <x v="1"/>
    <s v="Printer"/>
    <s v="Electronics"/>
    <s v="South"/>
    <n v="2325.42"/>
    <n v="9"/>
    <n v="228.04"/>
    <n v="2097.38"/>
  </r>
  <r>
    <s v="ORD0285"/>
    <d v="2024-03-16T00:00:00"/>
    <s v="Mar"/>
    <x v="1"/>
    <s v="Monitor"/>
    <s v="Electronics"/>
    <s v="East"/>
    <n v="9332.68"/>
    <n v="10"/>
    <n v="796.18"/>
    <n v="8536.5"/>
  </r>
  <r>
    <s v="ORD0286"/>
    <d v="2023-04-16T00:00:00"/>
    <s v="Apr"/>
    <x v="0"/>
    <s v="Keyboard"/>
    <s v="Accessories"/>
    <s v="North"/>
    <n v="671.94"/>
    <n v="2"/>
    <n v="275.77999999999997"/>
    <n v="396.16000000000008"/>
  </r>
  <r>
    <s v="ORD0287"/>
    <d v="2023-06-20T00:00:00"/>
    <s v="Jun"/>
    <x v="0"/>
    <s v="Monitor"/>
    <s v="Electronics"/>
    <s v="South"/>
    <n v="2628.92"/>
    <n v="8"/>
    <n v="294.20999999999998"/>
    <n v="2334.71"/>
  </r>
  <r>
    <s v="ORD0288"/>
    <d v="2023-10-09T00:00:00"/>
    <s v="Oct"/>
    <x v="0"/>
    <s v="Keyboard"/>
    <s v="Accessories"/>
    <s v="South"/>
    <n v="106.41"/>
    <n v="1"/>
    <n v="78.53"/>
    <n v="27.879999999999995"/>
  </r>
  <r>
    <s v="ORD0289"/>
    <d v="2023-02-01T00:00:00"/>
    <s v="Feb"/>
    <x v="0"/>
    <s v="Keyboard"/>
    <s v="Accessories"/>
    <s v="West"/>
    <n v="2805.38"/>
    <n v="3"/>
    <n v="681.96"/>
    <n v="2123.42"/>
  </r>
  <r>
    <s v="ORD0290"/>
    <d v="2023-05-10T00:00:00"/>
    <s v="May"/>
    <x v="0"/>
    <s v="Monitor"/>
    <s v="Electronics"/>
    <s v="East"/>
    <n v="554.30999999999995"/>
    <n v="2"/>
    <n v="204.08"/>
    <n v="350.2299999999999"/>
  </r>
  <r>
    <s v="ORD0291"/>
    <d v="2024-08-03T00:00:00"/>
    <s v="Aug"/>
    <x v="1"/>
    <s v="Keyboard"/>
    <s v="Accessories"/>
    <s v="South"/>
    <n v="674.8"/>
    <n v="1"/>
    <n v="491.97"/>
    <n v="182.82999999999993"/>
  </r>
  <r>
    <s v="ORD0292"/>
    <d v="2024-03-30T00:00:00"/>
    <s v="Mar"/>
    <x v="1"/>
    <s v="Keyboard"/>
    <s v="Accessories"/>
    <s v="North"/>
    <n v="1226.94"/>
    <n v="2"/>
    <n v="467.66"/>
    <n v="759.28"/>
  </r>
  <r>
    <s v="ORD0293"/>
    <d v="2024-10-27T00:00:00"/>
    <s v="Oct"/>
    <x v="1"/>
    <s v="Monitor"/>
    <s v="Electronics"/>
    <s v="North"/>
    <n v="1229.56"/>
    <n v="5"/>
    <n v="214.7"/>
    <n v="1014.8599999999999"/>
  </r>
  <r>
    <s v="ORD0294"/>
    <d v="2024-05-26T00:00:00"/>
    <s v="May"/>
    <x v="1"/>
    <s v="Printer"/>
    <s v="Electronics"/>
    <s v="West"/>
    <n v="3837.1"/>
    <n v="9"/>
    <n v="321.85000000000002"/>
    <n v="3515.25"/>
  </r>
  <r>
    <s v="ORD0295"/>
    <d v="2024-12-21T00:00:00"/>
    <s v="Dec"/>
    <x v="1"/>
    <s v="Keyboard"/>
    <s v="Accessories"/>
    <s v="North"/>
    <n v="2015.62"/>
    <n v="8"/>
    <n v="187.36"/>
    <n v="1828.2599999999998"/>
  </r>
  <r>
    <s v="ORD0296"/>
    <d v="2023-07-24T00:00:00"/>
    <s v="Jul"/>
    <x v="0"/>
    <s v="Printer"/>
    <s v="Electronics"/>
    <s v="South"/>
    <n v="284.37"/>
    <n v="2"/>
    <n v="125.87"/>
    <n v="158.5"/>
  </r>
  <r>
    <s v="ORD0297"/>
    <d v="2023-03-31T00:00:00"/>
    <s v="Mar"/>
    <x v="0"/>
    <s v="Mouse"/>
    <s v="Accessories"/>
    <s v="South"/>
    <n v="4491.2"/>
    <n v="6"/>
    <n v="540.91999999999996"/>
    <n v="3950.2799999999997"/>
  </r>
  <r>
    <s v="ORD0298"/>
    <d v="2023-11-04T00:00:00"/>
    <s v="Nov"/>
    <x v="0"/>
    <s v="Headphones"/>
    <s v="Accessories"/>
    <s v="North"/>
    <n v="2538.2800000000002"/>
    <n v="3"/>
    <n v="575.21"/>
    <n v="1963.0700000000002"/>
  </r>
  <r>
    <s v="ORD0299"/>
    <d v="2024-01-06T00:00:00"/>
    <s v="Jan"/>
    <x v="1"/>
    <s v="Printer"/>
    <s v="Electronics"/>
    <s v="West"/>
    <n v="2620.85"/>
    <n v="9"/>
    <n v="194.91"/>
    <n v="2425.94"/>
  </r>
  <r>
    <s v="ORD0300"/>
    <d v="2024-05-20T00:00:00"/>
    <s v="May"/>
    <x v="1"/>
    <s v="Mouse"/>
    <s v="Accessories"/>
    <s v="West"/>
    <n v="400.67"/>
    <n v="1"/>
    <n v="301.5"/>
    <n v="99.170000000000016"/>
  </r>
  <r>
    <m/>
    <m/>
    <m/>
    <x v="2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0001"/>
    <x v="0"/>
    <x v="0"/>
    <x v="0"/>
    <x v="0"/>
    <s v="Electronics"/>
    <x v="0"/>
    <n v="1219.5"/>
    <n v="5"/>
    <n v="211.02"/>
  </r>
  <r>
    <s v="ORD0002"/>
    <x v="1"/>
    <x v="1"/>
    <x v="1"/>
    <x v="1"/>
    <s v="Electronics"/>
    <x v="0"/>
    <n v="356.63"/>
    <n v="7"/>
    <n v="44.79"/>
  </r>
  <r>
    <s v="ORD0003"/>
    <x v="2"/>
    <x v="2"/>
    <x v="1"/>
    <x v="2"/>
    <s v="Accessories"/>
    <x v="0"/>
    <n v="3194.55"/>
    <n v="4"/>
    <n v="578.5"/>
  </r>
  <r>
    <s v="ORD0004"/>
    <x v="3"/>
    <x v="3"/>
    <x v="1"/>
    <x v="3"/>
    <s v="Electronics"/>
    <x v="1"/>
    <n v="3430.95"/>
    <n v="10"/>
    <n v="236.99"/>
  </r>
  <r>
    <s v="ORD0005"/>
    <x v="4"/>
    <x v="4"/>
    <x v="0"/>
    <x v="2"/>
    <s v="Accessories"/>
    <x v="2"/>
    <n v="1047.44"/>
    <n v="5"/>
    <n v="141.27000000000001"/>
  </r>
  <r>
    <s v="ORD0006"/>
    <x v="5"/>
    <x v="3"/>
    <x v="0"/>
    <x v="4"/>
    <s v="Accessories"/>
    <x v="0"/>
    <n v="961.37"/>
    <n v="7"/>
    <n v="95.44"/>
  </r>
  <r>
    <s v="ORD0007"/>
    <x v="6"/>
    <x v="5"/>
    <x v="0"/>
    <x v="5"/>
    <s v="Accessories"/>
    <x v="3"/>
    <n v="5221.42"/>
    <n v="8"/>
    <n v="438.26"/>
  </r>
  <r>
    <s v="ORD0008"/>
    <x v="7"/>
    <x v="2"/>
    <x v="1"/>
    <x v="3"/>
    <s v="Electronics"/>
    <x v="0"/>
    <n v="4493.2"/>
    <n v="5"/>
    <n v="666.94"/>
  </r>
  <r>
    <s v="ORD0009"/>
    <x v="8"/>
    <x v="4"/>
    <x v="1"/>
    <x v="4"/>
    <s v="Accessories"/>
    <x v="1"/>
    <n v="132.79"/>
    <n v="2"/>
    <n v="55.74"/>
  </r>
  <r>
    <s v="ORD0010"/>
    <x v="9"/>
    <x v="1"/>
    <x v="0"/>
    <x v="4"/>
    <s v="Accessories"/>
    <x v="0"/>
    <n v="811.1"/>
    <n v="2"/>
    <n v="316.5"/>
  </r>
  <r>
    <s v="ORD0011"/>
    <x v="10"/>
    <x v="0"/>
    <x v="1"/>
    <x v="4"/>
    <s v="Accessories"/>
    <x v="1"/>
    <n v="1328.1"/>
    <n v="6"/>
    <n v="183.42"/>
  </r>
  <r>
    <s v="ORD0012"/>
    <x v="11"/>
    <x v="6"/>
    <x v="1"/>
    <x v="0"/>
    <s v="Electronics"/>
    <x v="0"/>
    <n v="1569.15"/>
    <n v="3"/>
    <n v="436.63"/>
  </r>
  <r>
    <s v="ORD0013"/>
    <x v="12"/>
    <x v="7"/>
    <x v="0"/>
    <x v="3"/>
    <s v="Electronics"/>
    <x v="2"/>
    <n v="2117.1999999999998"/>
    <n v="9"/>
    <n v="191.3"/>
  </r>
  <r>
    <s v="ORD0014"/>
    <x v="13"/>
    <x v="5"/>
    <x v="0"/>
    <x v="1"/>
    <s v="Electronics"/>
    <x v="1"/>
    <n v="2250.09"/>
    <n v="6"/>
    <n v="332.91"/>
  </r>
  <r>
    <s v="ORD0015"/>
    <x v="14"/>
    <x v="1"/>
    <x v="0"/>
    <x v="5"/>
    <s v="Accessories"/>
    <x v="3"/>
    <n v="3853.23"/>
    <n v="8"/>
    <n v="328.59"/>
  </r>
  <r>
    <s v="ORD0016"/>
    <x v="15"/>
    <x v="6"/>
    <x v="0"/>
    <x v="3"/>
    <s v="Electronics"/>
    <x v="1"/>
    <n v="843.88"/>
    <n v="3"/>
    <n v="212.37"/>
  </r>
  <r>
    <s v="ORD0017"/>
    <x v="16"/>
    <x v="1"/>
    <x v="1"/>
    <x v="4"/>
    <s v="Accessories"/>
    <x v="2"/>
    <n v="3172.52"/>
    <n v="7"/>
    <n v="302.36"/>
  </r>
  <r>
    <s v="ORD0018"/>
    <x v="17"/>
    <x v="3"/>
    <x v="0"/>
    <x v="2"/>
    <s v="Accessories"/>
    <x v="2"/>
    <n v="803.11"/>
    <n v="1"/>
    <n v="691.66"/>
  </r>
  <r>
    <s v="ORD0019"/>
    <x v="18"/>
    <x v="6"/>
    <x v="1"/>
    <x v="2"/>
    <s v="Accessories"/>
    <x v="2"/>
    <n v="856.87"/>
    <n v="2"/>
    <n v="320.12"/>
  </r>
  <r>
    <s v="ORD0020"/>
    <x v="19"/>
    <x v="2"/>
    <x v="1"/>
    <x v="3"/>
    <s v="Electronics"/>
    <x v="3"/>
    <n v="630.91"/>
    <n v="1"/>
    <n v="550.62"/>
  </r>
  <r>
    <s v="ORD0021"/>
    <x v="20"/>
    <x v="7"/>
    <x v="1"/>
    <x v="5"/>
    <s v="Accessories"/>
    <x v="3"/>
    <n v="817.92"/>
    <n v="6"/>
    <n v="107.01"/>
  </r>
  <r>
    <s v="ORD0022"/>
    <x v="21"/>
    <x v="6"/>
    <x v="0"/>
    <x v="3"/>
    <s v="Electronics"/>
    <x v="0"/>
    <n v="7204.65"/>
    <n v="9"/>
    <n v="614.33000000000004"/>
  </r>
  <r>
    <s v="ORD0023"/>
    <x v="22"/>
    <x v="7"/>
    <x v="1"/>
    <x v="1"/>
    <s v="Electronics"/>
    <x v="3"/>
    <n v="5172.8599999999997"/>
    <n v="9"/>
    <n v="495"/>
  </r>
  <r>
    <s v="ORD0024"/>
    <x v="23"/>
    <x v="6"/>
    <x v="1"/>
    <x v="2"/>
    <s v="Accessories"/>
    <x v="0"/>
    <n v="2755.02"/>
    <n v="6"/>
    <n v="401.11"/>
  </r>
  <r>
    <s v="ORD0025"/>
    <x v="24"/>
    <x v="6"/>
    <x v="0"/>
    <x v="4"/>
    <s v="Accessories"/>
    <x v="3"/>
    <n v="275.83999999999997"/>
    <n v="1"/>
    <n v="207.88"/>
  </r>
  <r>
    <s v="ORD0026"/>
    <x v="25"/>
    <x v="8"/>
    <x v="1"/>
    <x v="1"/>
    <s v="Electronics"/>
    <x v="0"/>
    <n v="2055.84"/>
    <n v="2"/>
    <n v="782.83"/>
  </r>
  <r>
    <s v="ORD0027"/>
    <x v="26"/>
    <x v="9"/>
    <x v="1"/>
    <x v="2"/>
    <s v="Accessories"/>
    <x v="1"/>
    <n v="7075.97"/>
    <n v="8"/>
    <n v="758.54"/>
  </r>
  <r>
    <s v="ORD0028"/>
    <x v="27"/>
    <x v="1"/>
    <x v="0"/>
    <x v="5"/>
    <s v="Accessories"/>
    <x v="2"/>
    <n v="7542.93"/>
    <n v="9"/>
    <n v="609.11"/>
  </r>
  <r>
    <s v="ORD0029"/>
    <x v="28"/>
    <x v="5"/>
    <x v="1"/>
    <x v="0"/>
    <s v="Electronics"/>
    <x v="3"/>
    <n v="2836.67"/>
    <n v="6"/>
    <n v="361.72"/>
  </r>
  <r>
    <s v="ORD0030"/>
    <x v="29"/>
    <x v="1"/>
    <x v="0"/>
    <x v="1"/>
    <s v="Electronics"/>
    <x v="1"/>
    <n v="757.69"/>
    <n v="2"/>
    <n v="283.70999999999998"/>
  </r>
  <r>
    <s v="ORD0031"/>
    <x v="30"/>
    <x v="0"/>
    <x v="0"/>
    <x v="2"/>
    <s v="Accessories"/>
    <x v="1"/>
    <n v="1285.6099999999999"/>
    <n v="2"/>
    <n v="572.12"/>
  </r>
  <r>
    <s v="ORD0032"/>
    <x v="31"/>
    <x v="4"/>
    <x v="0"/>
    <x v="1"/>
    <s v="Electronics"/>
    <x v="0"/>
    <n v="1020.09"/>
    <n v="2"/>
    <n v="421.04"/>
  </r>
  <r>
    <s v="ORD0033"/>
    <x v="32"/>
    <x v="2"/>
    <x v="1"/>
    <x v="3"/>
    <s v="Electronics"/>
    <x v="1"/>
    <n v="2546.5300000000002"/>
    <n v="3"/>
    <n v="584.22"/>
  </r>
  <r>
    <s v="ORD0034"/>
    <x v="33"/>
    <x v="6"/>
    <x v="0"/>
    <x v="5"/>
    <s v="Accessories"/>
    <x v="2"/>
    <n v="6114.64"/>
    <n v="8"/>
    <n v="649.85"/>
  </r>
  <r>
    <s v="ORD0035"/>
    <x v="34"/>
    <x v="4"/>
    <x v="0"/>
    <x v="1"/>
    <s v="Electronics"/>
    <x v="2"/>
    <n v="3447.05"/>
    <n v="7"/>
    <n v="340.66"/>
  </r>
  <r>
    <s v="ORD0036"/>
    <x v="35"/>
    <x v="10"/>
    <x v="0"/>
    <x v="1"/>
    <s v="Electronics"/>
    <x v="0"/>
    <n v="5845.79"/>
    <n v="7"/>
    <n v="588.01"/>
  </r>
  <r>
    <s v="ORD0037"/>
    <x v="36"/>
    <x v="2"/>
    <x v="0"/>
    <x v="1"/>
    <s v="Electronics"/>
    <x v="1"/>
    <n v="2026.83"/>
    <n v="4"/>
    <n v="438.3"/>
  </r>
  <r>
    <s v="ORD0038"/>
    <x v="37"/>
    <x v="3"/>
    <x v="1"/>
    <x v="2"/>
    <s v="Accessories"/>
    <x v="3"/>
    <n v="3173.92"/>
    <n v="4"/>
    <n v="702.1"/>
  </r>
  <r>
    <s v="ORD0039"/>
    <x v="38"/>
    <x v="5"/>
    <x v="0"/>
    <x v="5"/>
    <s v="Accessories"/>
    <x v="0"/>
    <n v="8998.33"/>
    <n v="9"/>
    <n v="672.1"/>
  </r>
  <r>
    <s v="ORD0040"/>
    <x v="39"/>
    <x v="5"/>
    <x v="1"/>
    <x v="2"/>
    <s v="Accessories"/>
    <x v="1"/>
    <n v="4574.24"/>
    <n v="8"/>
    <n v="395.46"/>
  </r>
  <r>
    <s v="ORD0041"/>
    <x v="40"/>
    <x v="0"/>
    <x v="1"/>
    <x v="1"/>
    <s v="Electronics"/>
    <x v="1"/>
    <n v="951.04"/>
    <n v="1"/>
    <n v="788.54"/>
  </r>
  <r>
    <s v="ORD0042"/>
    <x v="41"/>
    <x v="10"/>
    <x v="1"/>
    <x v="3"/>
    <s v="Electronics"/>
    <x v="3"/>
    <n v="6248.51"/>
    <n v="9"/>
    <n v="536.26"/>
  </r>
  <r>
    <s v="ORD0043"/>
    <x v="42"/>
    <x v="1"/>
    <x v="0"/>
    <x v="2"/>
    <s v="Accessories"/>
    <x v="3"/>
    <n v="621.25"/>
    <n v="1"/>
    <n v="471.76"/>
  </r>
  <r>
    <s v="ORD0044"/>
    <x v="43"/>
    <x v="5"/>
    <x v="0"/>
    <x v="0"/>
    <s v="Electronics"/>
    <x v="3"/>
    <n v="618.9"/>
    <n v="1"/>
    <n v="475.66"/>
  </r>
  <r>
    <s v="ORD0045"/>
    <x v="43"/>
    <x v="5"/>
    <x v="0"/>
    <x v="5"/>
    <s v="Accessories"/>
    <x v="1"/>
    <n v="871.83"/>
    <n v="9"/>
    <n v="82.49"/>
  </r>
  <r>
    <s v="ORD0046"/>
    <x v="44"/>
    <x v="9"/>
    <x v="1"/>
    <x v="5"/>
    <s v="Accessories"/>
    <x v="0"/>
    <n v="1978.34"/>
    <n v="4"/>
    <n v="334.94"/>
  </r>
  <r>
    <s v="ORD0047"/>
    <x v="45"/>
    <x v="1"/>
    <x v="1"/>
    <x v="5"/>
    <s v="Accessories"/>
    <x v="1"/>
    <n v="577.72"/>
    <n v="10"/>
    <n v="51"/>
  </r>
  <r>
    <s v="ORD0048"/>
    <x v="46"/>
    <x v="6"/>
    <x v="0"/>
    <x v="0"/>
    <s v="Electronics"/>
    <x v="3"/>
    <n v="2659.17"/>
    <n v="4"/>
    <n v="542.39"/>
  </r>
  <r>
    <s v="ORD0049"/>
    <x v="47"/>
    <x v="8"/>
    <x v="0"/>
    <x v="4"/>
    <s v="Accessories"/>
    <x v="2"/>
    <n v="2771.33"/>
    <n v="5"/>
    <n v="376.64"/>
  </r>
  <r>
    <s v="ORD0050"/>
    <x v="48"/>
    <x v="3"/>
    <x v="1"/>
    <x v="1"/>
    <s v="Electronics"/>
    <x v="0"/>
    <n v="11969.38"/>
    <n v="10"/>
    <n v="798.79"/>
  </r>
  <r>
    <s v="ORD0051"/>
    <x v="49"/>
    <x v="11"/>
    <x v="1"/>
    <x v="1"/>
    <s v="Electronics"/>
    <x v="1"/>
    <n v="764.34"/>
    <n v="5"/>
    <n v="123.32"/>
  </r>
  <r>
    <s v="ORD0052"/>
    <x v="50"/>
    <x v="0"/>
    <x v="1"/>
    <x v="1"/>
    <s v="Electronics"/>
    <x v="1"/>
    <n v="1025.24"/>
    <n v="5"/>
    <n v="143.04"/>
  </r>
  <r>
    <s v="ORD0053"/>
    <x v="51"/>
    <x v="6"/>
    <x v="1"/>
    <x v="0"/>
    <s v="Electronics"/>
    <x v="3"/>
    <n v="335.17"/>
    <n v="9"/>
    <n v="26.1"/>
  </r>
  <r>
    <s v="ORD0054"/>
    <x v="52"/>
    <x v="8"/>
    <x v="0"/>
    <x v="4"/>
    <s v="Accessories"/>
    <x v="0"/>
    <n v="628.72"/>
    <n v="5"/>
    <n v="110.03"/>
  </r>
  <r>
    <s v="ORD0055"/>
    <x v="53"/>
    <x v="7"/>
    <x v="0"/>
    <x v="5"/>
    <s v="Accessories"/>
    <x v="1"/>
    <n v="3410.54"/>
    <n v="5"/>
    <n v="491.77"/>
  </r>
  <r>
    <s v="ORD0056"/>
    <x v="54"/>
    <x v="11"/>
    <x v="1"/>
    <x v="2"/>
    <s v="Accessories"/>
    <x v="3"/>
    <n v="2527"/>
    <n v="8"/>
    <n v="215.87"/>
  </r>
  <r>
    <s v="ORD0057"/>
    <x v="55"/>
    <x v="7"/>
    <x v="1"/>
    <x v="1"/>
    <s v="Electronics"/>
    <x v="0"/>
    <n v="5217.38"/>
    <n v="7"/>
    <n v="666.89"/>
  </r>
  <r>
    <s v="ORD0058"/>
    <x v="56"/>
    <x v="7"/>
    <x v="1"/>
    <x v="4"/>
    <s v="Accessories"/>
    <x v="1"/>
    <n v="932.21"/>
    <n v="5"/>
    <n v="146.03"/>
  </r>
  <r>
    <s v="ORD0059"/>
    <x v="2"/>
    <x v="2"/>
    <x v="1"/>
    <x v="0"/>
    <s v="Electronics"/>
    <x v="2"/>
    <n v="158.53"/>
    <n v="1"/>
    <n v="107.26"/>
  </r>
  <r>
    <s v="ORD0060"/>
    <x v="57"/>
    <x v="2"/>
    <x v="1"/>
    <x v="0"/>
    <s v="Electronics"/>
    <x v="1"/>
    <n v="894.42"/>
    <n v="1"/>
    <n v="670.98"/>
  </r>
  <r>
    <s v="ORD0061"/>
    <x v="58"/>
    <x v="8"/>
    <x v="0"/>
    <x v="2"/>
    <s v="Accessories"/>
    <x v="2"/>
    <n v="380.14"/>
    <n v="1"/>
    <n v="260.44"/>
  </r>
  <r>
    <s v="ORD0062"/>
    <x v="59"/>
    <x v="1"/>
    <x v="0"/>
    <x v="1"/>
    <s v="Electronics"/>
    <x v="3"/>
    <n v="2682.62"/>
    <n v="4"/>
    <n v="540.21"/>
  </r>
  <r>
    <s v="ORD0063"/>
    <x v="60"/>
    <x v="6"/>
    <x v="1"/>
    <x v="5"/>
    <s v="Accessories"/>
    <x v="2"/>
    <n v="2659.75"/>
    <n v="3"/>
    <n v="742.1"/>
  </r>
  <r>
    <s v="ORD0064"/>
    <x v="61"/>
    <x v="5"/>
    <x v="1"/>
    <x v="2"/>
    <s v="Accessories"/>
    <x v="1"/>
    <n v="235.02"/>
    <n v="1"/>
    <n v="159.9"/>
  </r>
  <r>
    <s v="ORD0065"/>
    <x v="62"/>
    <x v="7"/>
    <x v="0"/>
    <x v="3"/>
    <s v="Electronics"/>
    <x v="1"/>
    <n v="2174.9499999999998"/>
    <n v="3"/>
    <n v="634.15"/>
  </r>
  <r>
    <s v="ORD0066"/>
    <x v="63"/>
    <x v="1"/>
    <x v="0"/>
    <x v="1"/>
    <s v="Electronics"/>
    <x v="2"/>
    <n v="3374.36"/>
    <n v="4"/>
    <n v="656.94"/>
  </r>
  <r>
    <s v="ORD0067"/>
    <x v="64"/>
    <x v="1"/>
    <x v="0"/>
    <x v="4"/>
    <s v="Accessories"/>
    <x v="1"/>
    <n v="673.56"/>
    <n v="1"/>
    <n v="534.83000000000004"/>
  </r>
  <r>
    <s v="ORD0068"/>
    <x v="65"/>
    <x v="7"/>
    <x v="0"/>
    <x v="4"/>
    <s v="Accessories"/>
    <x v="0"/>
    <n v="3933.52"/>
    <n v="6"/>
    <n v="520.36"/>
  </r>
  <r>
    <s v="ORD0069"/>
    <x v="66"/>
    <x v="0"/>
    <x v="0"/>
    <x v="5"/>
    <s v="Accessories"/>
    <x v="3"/>
    <n v="1696.13"/>
    <n v="2"/>
    <n v="704.09"/>
  </r>
  <r>
    <s v="ORD0070"/>
    <x v="67"/>
    <x v="5"/>
    <x v="0"/>
    <x v="5"/>
    <s v="Accessories"/>
    <x v="3"/>
    <n v="1201.94"/>
    <n v="2"/>
    <n v="485.33"/>
  </r>
  <r>
    <s v="ORD0071"/>
    <x v="68"/>
    <x v="6"/>
    <x v="1"/>
    <x v="4"/>
    <s v="Accessories"/>
    <x v="2"/>
    <n v="1447.83"/>
    <n v="9"/>
    <n v="110.2"/>
  </r>
  <r>
    <s v="ORD0072"/>
    <x v="69"/>
    <x v="5"/>
    <x v="0"/>
    <x v="2"/>
    <s v="Accessories"/>
    <x v="3"/>
    <n v="219.42"/>
    <n v="7"/>
    <n v="21.32"/>
  </r>
  <r>
    <s v="ORD0073"/>
    <x v="70"/>
    <x v="0"/>
    <x v="1"/>
    <x v="5"/>
    <s v="Accessories"/>
    <x v="1"/>
    <n v="712.97"/>
    <n v="7"/>
    <n v="74.58"/>
  </r>
  <r>
    <s v="ORD0074"/>
    <x v="71"/>
    <x v="9"/>
    <x v="1"/>
    <x v="4"/>
    <s v="Accessories"/>
    <x v="3"/>
    <n v="1418.79"/>
    <n v="2"/>
    <n v="581.41"/>
  </r>
  <r>
    <s v="ORD0075"/>
    <x v="72"/>
    <x v="4"/>
    <x v="0"/>
    <x v="4"/>
    <s v="Accessories"/>
    <x v="2"/>
    <n v="5216.66"/>
    <n v="7"/>
    <n v="563.82000000000005"/>
  </r>
  <r>
    <s v="ORD0076"/>
    <x v="73"/>
    <x v="9"/>
    <x v="1"/>
    <x v="2"/>
    <s v="Accessories"/>
    <x v="2"/>
    <n v="5608.04"/>
    <n v="7"/>
    <n v="548.30999999999995"/>
  </r>
  <r>
    <s v="ORD0077"/>
    <x v="74"/>
    <x v="5"/>
    <x v="1"/>
    <x v="5"/>
    <s v="Accessories"/>
    <x v="3"/>
    <n v="7369.35"/>
    <n v="9"/>
    <n v="670.31"/>
  </r>
  <r>
    <s v="ORD0078"/>
    <x v="75"/>
    <x v="1"/>
    <x v="1"/>
    <x v="2"/>
    <s v="Accessories"/>
    <x v="2"/>
    <n v="6824.39"/>
    <n v="10"/>
    <n v="530.66999999999996"/>
  </r>
  <r>
    <s v="ORD0079"/>
    <x v="76"/>
    <x v="11"/>
    <x v="1"/>
    <x v="3"/>
    <s v="Electronics"/>
    <x v="1"/>
    <n v="7587.17"/>
    <n v="8"/>
    <n v="639.11"/>
  </r>
  <r>
    <s v="ORD0080"/>
    <x v="77"/>
    <x v="9"/>
    <x v="1"/>
    <x v="0"/>
    <s v="Electronics"/>
    <x v="1"/>
    <n v="659.15"/>
    <n v="2"/>
    <n v="241.35"/>
  </r>
  <r>
    <s v="ORD0081"/>
    <x v="78"/>
    <x v="3"/>
    <x v="0"/>
    <x v="5"/>
    <s v="Accessories"/>
    <x v="3"/>
    <n v="2592.84"/>
    <n v="4"/>
    <n v="544.78"/>
  </r>
  <r>
    <s v="ORD0082"/>
    <x v="0"/>
    <x v="0"/>
    <x v="0"/>
    <x v="2"/>
    <s v="Accessories"/>
    <x v="1"/>
    <n v="272.18"/>
    <n v="1"/>
    <n v="210.98"/>
  </r>
  <r>
    <s v="ORD0083"/>
    <x v="79"/>
    <x v="5"/>
    <x v="1"/>
    <x v="1"/>
    <s v="Electronics"/>
    <x v="2"/>
    <n v="2366.4"/>
    <n v="10"/>
    <n v="171.66"/>
  </r>
  <r>
    <s v="ORD0084"/>
    <x v="80"/>
    <x v="6"/>
    <x v="0"/>
    <x v="3"/>
    <s v="Electronics"/>
    <x v="2"/>
    <n v="1758.25"/>
    <n v="3"/>
    <n v="531.73"/>
  </r>
  <r>
    <s v="ORD0085"/>
    <x v="81"/>
    <x v="1"/>
    <x v="0"/>
    <x v="1"/>
    <s v="Electronics"/>
    <x v="2"/>
    <n v="2676.27"/>
    <n v="3"/>
    <n v="647.21"/>
  </r>
  <r>
    <s v="ORD0086"/>
    <x v="82"/>
    <x v="2"/>
    <x v="1"/>
    <x v="3"/>
    <s v="Electronics"/>
    <x v="0"/>
    <n v="3379.61"/>
    <n v="4"/>
    <n v="735.63"/>
  </r>
  <r>
    <s v="ORD0087"/>
    <x v="83"/>
    <x v="9"/>
    <x v="1"/>
    <x v="2"/>
    <s v="Accessories"/>
    <x v="2"/>
    <n v="9521.2099999999991"/>
    <n v="9"/>
    <n v="790.56"/>
  </r>
  <r>
    <s v="ORD0088"/>
    <x v="84"/>
    <x v="2"/>
    <x v="1"/>
    <x v="3"/>
    <s v="Electronics"/>
    <x v="2"/>
    <n v="8047.37"/>
    <n v="8"/>
    <n v="719.82"/>
  </r>
  <r>
    <s v="ORD0089"/>
    <x v="85"/>
    <x v="6"/>
    <x v="0"/>
    <x v="3"/>
    <s v="Electronics"/>
    <x v="2"/>
    <n v="3269.93"/>
    <n v="4"/>
    <n v="675.09"/>
  </r>
  <r>
    <s v="ORD0090"/>
    <x v="86"/>
    <x v="7"/>
    <x v="1"/>
    <x v="5"/>
    <s v="Accessories"/>
    <x v="2"/>
    <n v="1059.47"/>
    <n v="4"/>
    <n v="234.19"/>
  </r>
  <r>
    <s v="ORD0091"/>
    <x v="53"/>
    <x v="7"/>
    <x v="0"/>
    <x v="4"/>
    <s v="Accessories"/>
    <x v="1"/>
    <n v="2127.04"/>
    <n v="6"/>
    <n v="269.37"/>
  </r>
  <r>
    <s v="ORD0092"/>
    <x v="87"/>
    <x v="1"/>
    <x v="0"/>
    <x v="2"/>
    <s v="Accessories"/>
    <x v="1"/>
    <n v="5432.05"/>
    <n v="7"/>
    <n v="561.28"/>
  </r>
  <r>
    <s v="ORD0093"/>
    <x v="88"/>
    <x v="5"/>
    <x v="1"/>
    <x v="1"/>
    <s v="Electronics"/>
    <x v="2"/>
    <n v="3367.67"/>
    <n v="6"/>
    <n v="443.24"/>
  </r>
  <r>
    <s v="ORD0094"/>
    <x v="89"/>
    <x v="5"/>
    <x v="1"/>
    <x v="2"/>
    <s v="Accessories"/>
    <x v="2"/>
    <n v="8396.4500000000007"/>
    <n v="10"/>
    <n v="757.93"/>
  </r>
  <r>
    <s v="ORD0095"/>
    <x v="90"/>
    <x v="8"/>
    <x v="1"/>
    <x v="5"/>
    <s v="Accessories"/>
    <x v="2"/>
    <n v="921.1"/>
    <n v="1"/>
    <n v="755.34"/>
  </r>
  <r>
    <s v="ORD0096"/>
    <x v="91"/>
    <x v="2"/>
    <x v="1"/>
    <x v="3"/>
    <s v="Electronics"/>
    <x v="2"/>
    <n v="8455.77"/>
    <n v="9"/>
    <n v="643.9"/>
  </r>
  <r>
    <s v="ORD0097"/>
    <x v="92"/>
    <x v="7"/>
    <x v="0"/>
    <x v="3"/>
    <s v="Electronics"/>
    <x v="1"/>
    <n v="3504.97"/>
    <n v="7"/>
    <n v="398.8"/>
  </r>
  <r>
    <s v="ORD0098"/>
    <x v="93"/>
    <x v="11"/>
    <x v="0"/>
    <x v="0"/>
    <s v="Electronics"/>
    <x v="2"/>
    <n v="8801.4"/>
    <n v="8"/>
    <n v="737.24"/>
  </r>
  <r>
    <s v="ORD0099"/>
    <x v="94"/>
    <x v="5"/>
    <x v="1"/>
    <x v="5"/>
    <s v="Accessories"/>
    <x v="0"/>
    <n v="5112.42"/>
    <n v="10"/>
    <n v="460.23"/>
  </r>
  <r>
    <s v="ORD0100"/>
    <x v="95"/>
    <x v="8"/>
    <x v="0"/>
    <x v="0"/>
    <s v="Electronics"/>
    <x v="2"/>
    <n v="1558.06"/>
    <n v="8"/>
    <n v="161.75"/>
  </r>
  <r>
    <s v="ORD0101"/>
    <x v="96"/>
    <x v="3"/>
    <x v="1"/>
    <x v="4"/>
    <s v="Accessories"/>
    <x v="1"/>
    <n v="2467.4299999999998"/>
    <n v="6"/>
    <n v="283.25"/>
  </r>
  <r>
    <s v="ORD0102"/>
    <x v="97"/>
    <x v="6"/>
    <x v="0"/>
    <x v="4"/>
    <s v="Accessories"/>
    <x v="2"/>
    <n v="1082.8499999999999"/>
    <n v="2"/>
    <n v="386.84"/>
  </r>
  <r>
    <s v="ORD0103"/>
    <x v="98"/>
    <x v="1"/>
    <x v="0"/>
    <x v="1"/>
    <s v="Electronics"/>
    <x v="3"/>
    <n v="1712.74"/>
    <n v="2"/>
    <n v="629.36"/>
  </r>
  <r>
    <s v="ORD0104"/>
    <x v="99"/>
    <x v="2"/>
    <x v="0"/>
    <x v="1"/>
    <s v="Electronics"/>
    <x v="1"/>
    <n v="603.26"/>
    <n v="1"/>
    <n v="504.64"/>
  </r>
  <r>
    <s v="ORD0105"/>
    <x v="100"/>
    <x v="2"/>
    <x v="1"/>
    <x v="3"/>
    <s v="Electronics"/>
    <x v="0"/>
    <n v="1840.93"/>
    <n v="4"/>
    <n v="382.73"/>
  </r>
  <r>
    <s v="ORD0106"/>
    <x v="68"/>
    <x v="6"/>
    <x v="1"/>
    <x v="4"/>
    <s v="Accessories"/>
    <x v="1"/>
    <n v="10706.26"/>
    <n v="10"/>
    <n v="771.71"/>
  </r>
  <r>
    <s v="ORD0107"/>
    <x v="101"/>
    <x v="3"/>
    <x v="0"/>
    <x v="2"/>
    <s v="Accessories"/>
    <x v="3"/>
    <n v="490.28"/>
    <n v="10"/>
    <n v="40.03"/>
  </r>
  <r>
    <s v="ORD0108"/>
    <x v="102"/>
    <x v="5"/>
    <x v="1"/>
    <x v="0"/>
    <s v="Electronics"/>
    <x v="2"/>
    <n v="436.44"/>
    <n v="4"/>
    <n v="79.28"/>
  </r>
  <r>
    <s v="ORD0109"/>
    <x v="103"/>
    <x v="3"/>
    <x v="0"/>
    <x v="0"/>
    <s v="Electronics"/>
    <x v="1"/>
    <n v="4578.2"/>
    <n v="5"/>
    <n v="683.23"/>
  </r>
  <r>
    <s v="ORD0110"/>
    <x v="104"/>
    <x v="4"/>
    <x v="0"/>
    <x v="1"/>
    <s v="Electronics"/>
    <x v="0"/>
    <n v="3978.32"/>
    <n v="9"/>
    <n v="354.13"/>
  </r>
  <r>
    <s v="ORD0111"/>
    <x v="105"/>
    <x v="0"/>
    <x v="0"/>
    <x v="5"/>
    <s v="Accessories"/>
    <x v="3"/>
    <n v="5288.39"/>
    <n v="7"/>
    <n v="661.42"/>
  </r>
  <r>
    <s v="ORD0112"/>
    <x v="106"/>
    <x v="4"/>
    <x v="1"/>
    <x v="4"/>
    <s v="Accessories"/>
    <x v="2"/>
    <n v="1503.66"/>
    <n v="3"/>
    <n v="359.68"/>
  </r>
  <r>
    <s v="ORD0113"/>
    <x v="107"/>
    <x v="6"/>
    <x v="1"/>
    <x v="0"/>
    <s v="Electronics"/>
    <x v="3"/>
    <n v="7224.44"/>
    <n v="9"/>
    <n v="624.22"/>
  </r>
  <r>
    <s v="ORD0114"/>
    <x v="108"/>
    <x v="9"/>
    <x v="0"/>
    <x v="0"/>
    <s v="Electronics"/>
    <x v="3"/>
    <n v="3031.69"/>
    <n v="4"/>
    <n v="667.97"/>
  </r>
  <r>
    <s v="ORD0115"/>
    <x v="109"/>
    <x v="3"/>
    <x v="1"/>
    <x v="3"/>
    <s v="Electronics"/>
    <x v="1"/>
    <n v="6208.67"/>
    <n v="10"/>
    <n v="496.06"/>
  </r>
  <r>
    <s v="ORD0116"/>
    <x v="110"/>
    <x v="9"/>
    <x v="0"/>
    <x v="1"/>
    <s v="Electronics"/>
    <x v="2"/>
    <n v="1491.4"/>
    <n v="3"/>
    <n v="400.29"/>
  </r>
  <r>
    <s v="ORD0117"/>
    <x v="111"/>
    <x v="7"/>
    <x v="0"/>
    <x v="4"/>
    <s v="Accessories"/>
    <x v="3"/>
    <n v="6862.61"/>
    <n v="10"/>
    <n v="566.91999999999996"/>
  </r>
  <r>
    <s v="ORD0118"/>
    <x v="112"/>
    <x v="10"/>
    <x v="0"/>
    <x v="1"/>
    <s v="Electronics"/>
    <x v="1"/>
    <n v="3014"/>
    <n v="4"/>
    <n v="581.66"/>
  </r>
  <r>
    <s v="ORD0119"/>
    <x v="113"/>
    <x v="7"/>
    <x v="1"/>
    <x v="2"/>
    <s v="Accessories"/>
    <x v="2"/>
    <n v="3272.7"/>
    <n v="8"/>
    <n v="369.58"/>
  </r>
  <r>
    <s v="ORD0120"/>
    <x v="114"/>
    <x v="5"/>
    <x v="1"/>
    <x v="4"/>
    <s v="Accessories"/>
    <x v="1"/>
    <n v="1379.74"/>
    <n v="4"/>
    <n v="258.83999999999997"/>
  </r>
  <r>
    <s v="ORD0121"/>
    <x v="115"/>
    <x v="10"/>
    <x v="1"/>
    <x v="3"/>
    <s v="Electronics"/>
    <x v="3"/>
    <n v="3455.87"/>
    <n v="9"/>
    <n v="278.02"/>
  </r>
  <r>
    <s v="ORD0122"/>
    <x v="116"/>
    <x v="6"/>
    <x v="0"/>
    <x v="4"/>
    <s v="Accessories"/>
    <x v="3"/>
    <n v="537.25"/>
    <n v="4"/>
    <n v="114.11"/>
  </r>
  <r>
    <s v="ORD0123"/>
    <x v="36"/>
    <x v="2"/>
    <x v="0"/>
    <x v="1"/>
    <s v="Electronics"/>
    <x v="1"/>
    <n v="2886.6"/>
    <n v="4"/>
    <n v="596.11"/>
  </r>
  <r>
    <s v="ORD0124"/>
    <x v="117"/>
    <x v="3"/>
    <x v="0"/>
    <x v="5"/>
    <s v="Accessories"/>
    <x v="3"/>
    <n v="1249.68"/>
    <n v="4"/>
    <n v="251.07"/>
  </r>
  <r>
    <s v="ORD0125"/>
    <x v="118"/>
    <x v="4"/>
    <x v="1"/>
    <x v="4"/>
    <s v="Accessories"/>
    <x v="0"/>
    <n v="1194.8800000000001"/>
    <n v="9"/>
    <n v="118.73"/>
  </r>
  <r>
    <s v="ORD0126"/>
    <x v="119"/>
    <x v="4"/>
    <x v="1"/>
    <x v="1"/>
    <s v="Electronics"/>
    <x v="3"/>
    <n v="2175.4"/>
    <n v="3"/>
    <n v="517.54"/>
  </r>
  <r>
    <s v="ORD0127"/>
    <x v="120"/>
    <x v="1"/>
    <x v="1"/>
    <x v="1"/>
    <s v="Electronics"/>
    <x v="0"/>
    <n v="2463.87"/>
    <n v="5"/>
    <n v="386.13"/>
  </r>
  <r>
    <s v="ORD0128"/>
    <x v="97"/>
    <x v="6"/>
    <x v="0"/>
    <x v="2"/>
    <s v="Accessories"/>
    <x v="0"/>
    <n v="981.9"/>
    <n v="8"/>
    <n v="108.99"/>
  </r>
  <r>
    <s v="ORD0129"/>
    <x v="121"/>
    <x v="1"/>
    <x v="1"/>
    <x v="3"/>
    <s v="Electronics"/>
    <x v="0"/>
    <n v="197.07"/>
    <n v="1"/>
    <n v="138.35"/>
  </r>
  <r>
    <s v="ORD0130"/>
    <x v="122"/>
    <x v="6"/>
    <x v="0"/>
    <x v="4"/>
    <s v="Accessories"/>
    <x v="0"/>
    <n v="1153.25"/>
    <n v="2"/>
    <n v="455.3"/>
  </r>
  <r>
    <s v="ORD0131"/>
    <x v="123"/>
    <x v="11"/>
    <x v="1"/>
    <x v="5"/>
    <s v="Accessories"/>
    <x v="1"/>
    <n v="3320.17"/>
    <n v="7"/>
    <n v="371.4"/>
  </r>
  <r>
    <s v="ORD0132"/>
    <x v="124"/>
    <x v="9"/>
    <x v="0"/>
    <x v="5"/>
    <s v="Accessories"/>
    <x v="2"/>
    <n v="6778.39"/>
    <n v="10"/>
    <n v="504.4"/>
  </r>
  <r>
    <s v="ORD0133"/>
    <x v="125"/>
    <x v="1"/>
    <x v="0"/>
    <x v="0"/>
    <s v="Electronics"/>
    <x v="0"/>
    <n v="1025.6600000000001"/>
    <n v="4"/>
    <n v="226.42"/>
  </r>
  <r>
    <s v="ORD0134"/>
    <x v="7"/>
    <x v="2"/>
    <x v="1"/>
    <x v="2"/>
    <s v="Accessories"/>
    <x v="1"/>
    <n v="359.06"/>
    <n v="2"/>
    <n v="142.1"/>
  </r>
  <r>
    <s v="ORD0135"/>
    <x v="126"/>
    <x v="7"/>
    <x v="0"/>
    <x v="0"/>
    <s v="Electronics"/>
    <x v="2"/>
    <n v="277.32"/>
    <n v="1"/>
    <n v="200.55"/>
  </r>
  <r>
    <s v="ORD0136"/>
    <x v="127"/>
    <x v="10"/>
    <x v="0"/>
    <x v="0"/>
    <s v="Electronics"/>
    <x v="2"/>
    <n v="4192.47"/>
    <n v="4"/>
    <n v="740.65"/>
  </r>
  <r>
    <s v="ORD0137"/>
    <x v="115"/>
    <x v="10"/>
    <x v="1"/>
    <x v="0"/>
    <s v="Electronics"/>
    <x v="1"/>
    <n v="1208.9100000000001"/>
    <n v="2"/>
    <n v="444.76"/>
  </r>
  <r>
    <s v="ORD0138"/>
    <x v="128"/>
    <x v="10"/>
    <x v="0"/>
    <x v="4"/>
    <s v="Accessories"/>
    <x v="1"/>
    <n v="182.75"/>
    <n v="1"/>
    <n v="149.41999999999999"/>
  </r>
  <r>
    <s v="ORD0139"/>
    <x v="129"/>
    <x v="10"/>
    <x v="1"/>
    <x v="0"/>
    <s v="Electronics"/>
    <x v="3"/>
    <n v="942.08"/>
    <n v="2"/>
    <n v="385.58"/>
  </r>
  <r>
    <s v="ORD0140"/>
    <x v="130"/>
    <x v="8"/>
    <x v="1"/>
    <x v="3"/>
    <s v="Electronics"/>
    <x v="3"/>
    <n v="4128.41"/>
    <n v="9"/>
    <n v="405.16"/>
  </r>
  <r>
    <s v="ORD0141"/>
    <x v="108"/>
    <x v="9"/>
    <x v="0"/>
    <x v="1"/>
    <s v="Electronics"/>
    <x v="2"/>
    <n v="2446.84"/>
    <n v="10"/>
    <n v="215.29"/>
  </r>
  <r>
    <s v="ORD0142"/>
    <x v="131"/>
    <x v="9"/>
    <x v="1"/>
    <x v="0"/>
    <s v="Electronics"/>
    <x v="0"/>
    <n v="3298.6"/>
    <n v="5"/>
    <n v="469.47"/>
  </r>
  <r>
    <s v="ORD0143"/>
    <x v="132"/>
    <x v="11"/>
    <x v="1"/>
    <x v="2"/>
    <s v="Accessories"/>
    <x v="2"/>
    <n v="6890.55"/>
    <n v="8"/>
    <n v="734.54"/>
  </r>
  <r>
    <s v="ORD0144"/>
    <x v="133"/>
    <x v="7"/>
    <x v="1"/>
    <x v="5"/>
    <s v="Accessories"/>
    <x v="2"/>
    <n v="7994.49"/>
    <n v="8"/>
    <n v="775.86"/>
  </r>
  <r>
    <s v="ORD0145"/>
    <x v="134"/>
    <x v="9"/>
    <x v="0"/>
    <x v="3"/>
    <s v="Electronics"/>
    <x v="3"/>
    <n v="1697.66"/>
    <n v="2"/>
    <n v="689.03"/>
  </r>
  <r>
    <s v="ORD0146"/>
    <x v="135"/>
    <x v="7"/>
    <x v="0"/>
    <x v="0"/>
    <s v="Electronics"/>
    <x v="2"/>
    <n v="6048.5"/>
    <n v="7"/>
    <n v="654.58000000000004"/>
  </r>
  <r>
    <s v="ORD0147"/>
    <x v="136"/>
    <x v="9"/>
    <x v="0"/>
    <x v="3"/>
    <s v="Electronics"/>
    <x v="0"/>
    <n v="2024.9"/>
    <n v="5"/>
    <n v="272.14999999999998"/>
  </r>
  <r>
    <s v="ORD0148"/>
    <x v="137"/>
    <x v="9"/>
    <x v="1"/>
    <x v="3"/>
    <s v="Electronics"/>
    <x v="0"/>
    <n v="3839.58"/>
    <n v="9"/>
    <n v="380.34"/>
  </r>
  <r>
    <s v="ORD0149"/>
    <x v="138"/>
    <x v="6"/>
    <x v="1"/>
    <x v="5"/>
    <s v="Accessories"/>
    <x v="3"/>
    <n v="5703.82"/>
    <n v="8"/>
    <n v="507.82"/>
  </r>
  <r>
    <s v="ORD0150"/>
    <x v="139"/>
    <x v="2"/>
    <x v="1"/>
    <x v="2"/>
    <s v="Accessories"/>
    <x v="3"/>
    <n v="2844.74"/>
    <n v="3"/>
    <n v="743.58"/>
  </r>
  <r>
    <s v="ORD0151"/>
    <x v="140"/>
    <x v="8"/>
    <x v="0"/>
    <x v="0"/>
    <s v="Electronics"/>
    <x v="2"/>
    <n v="1046.69"/>
    <n v="1"/>
    <n v="779.05"/>
  </r>
  <r>
    <s v="ORD0152"/>
    <x v="141"/>
    <x v="9"/>
    <x v="0"/>
    <x v="2"/>
    <s v="Accessories"/>
    <x v="1"/>
    <n v="348.68"/>
    <n v="9"/>
    <n v="30.67"/>
  </r>
  <r>
    <s v="ORD0153"/>
    <x v="142"/>
    <x v="3"/>
    <x v="1"/>
    <x v="2"/>
    <s v="Accessories"/>
    <x v="0"/>
    <n v="1220.1600000000001"/>
    <n v="2"/>
    <n v="525.21"/>
  </r>
  <r>
    <s v="ORD0154"/>
    <x v="143"/>
    <x v="11"/>
    <x v="1"/>
    <x v="0"/>
    <s v="Electronics"/>
    <x v="3"/>
    <n v="2224.48"/>
    <n v="5"/>
    <n v="344.08"/>
  </r>
  <r>
    <s v="ORD0155"/>
    <x v="144"/>
    <x v="3"/>
    <x v="1"/>
    <x v="3"/>
    <s v="Electronics"/>
    <x v="1"/>
    <n v="1406.06"/>
    <n v="9"/>
    <n v="132.82"/>
  </r>
  <r>
    <s v="ORD0156"/>
    <x v="145"/>
    <x v="10"/>
    <x v="0"/>
    <x v="5"/>
    <s v="Accessories"/>
    <x v="1"/>
    <n v="4488.8599999999997"/>
    <n v="5"/>
    <n v="622.69000000000005"/>
  </r>
  <r>
    <s v="ORD0157"/>
    <x v="146"/>
    <x v="0"/>
    <x v="0"/>
    <x v="4"/>
    <s v="Accessories"/>
    <x v="3"/>
    <n v="4206.82"/>
    <n v="5"/>
    <n v="586.32000000000005"/>
  </r>
  <r>
    <s v="ORD0158"/>
    <x v="147"/>
    <x v="11"/>
    <x v="0"/>
    <x v="5"/>
    <s v="Accessories"/>
    <x v="2"/>
    <n v="4358.83"/>
    <n v="8"/>
    <n v="440.09"/>
  </r>
  <r>
    <s v="ORD0159"/>
    <x v="148"/>
    <x v="3"/>
    <x v="1"/>
    <x v="5"/>
    <s v="Accessories"/>
    <x v="2"/>
    <n v="6252.39"/>
    <n v="6"/>
    <n v="698.29"/>
  </r>
  <r>
    <s v="ORD0160"/>
    <x v="149"/>
    <x v="1"/>
    <x v="0"/>
    <x v="2"/>
    <s v="Accessories"/>
    <x v="2"/>
    <n v="528.79"/>
    <n v="7"/>
    <n v="54.04"/>
  </r>
  <r>
    <s v="ORD0161"/>
    <x v="150"/>
    <x v="0"/>
    <x v="1"/>
    <x v="0"/>
    <s v="Electronics"/>
    <x v="2"/>
    <n v="1359.04"/>
    <n v="3"/>
    <n v="406.36"/>
  </r>
  <r>
    <s v="ORD0162"/>
    <x v="117"/>
    <x v="3"/>
    <x v="0"/>
    <x v="5"/>
    <s v="Accessories"/>
    <x v="3"/>
    <n v="1145.3399999999999"/>
    <n v="8"/>
    <n v="97.78"/>
  </r>
  <r>
    <s v="ORD0163"/>
    <x v="151"/>
    <x v="5"/>
    <x v="1"/>
    <x v="1"/>
    <s v="Electronics"/>
    <x v="1"/>
    <n v="332.12"/>
    <n v="3"/>
    <n v="78.37"/>
  </r>
  <r>
    <s v="ORD0164"/>
    <x v="152"/>
    <x v="6"/>
    <x v="1"/>
    <x v="4"/>
    <s v="Accessories"/>
    <x v="3"/>
    <n v="5313.45"/>
    <n v="7"/>
    <n v="526.87"/>
  </r>
  <r>
    <s v="ORD0165"/>
    <x v="153"/>
    <x v="9"/>
    <x v="0"/>
    <x v="0"/>
    <s v="Electronics"/>
    <x v="2"/>
    <n v="6244.51"/>
    <n v="8"/>
    <n v="700.46"/>
  </r>
  <r>
    <s v="ORD0166"/>
    <x v="154"/>
    <x v="7"/>
    <x v="1"/>
    <x v="1"/>
    <s v="Electronics"/>
    <x v="1"/>
    <n v="5580.77"/>
    <n v="5"/>
    <n v="797.99"/>
  </r>
  <r>
    <s v="ORD0167"/>
    <x v="155"/>
    <x v="7"/>
    <x v="1"/>
    <x v="3"/>
    <s v="Electronics"/>
    <x v="0"/>
    <n v="1008.6"/>
    <n v="2"/>
    <n v="366.07"/>
  </r>
  <r>
    <s v="ORD0168"/>
    <x v="110"/>
    <x v="9"/>
    <x v="0"/>
    <x v="1"/>
    <s v="Electronics"/>
    <x v="0"/>
    <n v="311.02"/>
    <n v="1"/>
    <n v="248.83"/>
  </r>
  <r>
    <s v="ORD0169"/>
    <x v="156"/>
    <x v="11"/>
    <x v="1"/>
    <x v="2"/>
    <s v="Accessories"/>
    <x v="1"/>
    <n v="4576.8500000000004"/>
    <n v="7"/>
    <n v="461.42"/>
  </r>
  <r>
    <s v="ORD0170"/>
    <x v="157"/>
    <x v="10"/>
    <x v="0"/>
    <x v="2"/>
    <s v="Accessories"/>
    <x v="1"/>
    <n v="9425.08"/>
    <n v="10"/>
    <n v="699.25"/>
  </r>
  <r>
    <s v="ORD0171"/>
    <x v="16"/>
    <x v="1"/>
    <x v="1"/>
    <x v="2"/>
    <s v="Accessories"/>
    <x v="2"/>
    <n v="817.61"/>
    <n v="3"/>
    <n v="201.11"/>
  </r>
  <r>
    <s v="ORD0172"/>
    <x v="158"/>
    <x v="9"/>
    <x v="1"/>
    <x v="3"/>
    <s v="Electronics"/>
    <x v="3"/>
    <n v="927.47"/>
    <n v="1"/>
    <n v="721.15"/>
  </r>
  <r>
    <s v="ORD0173"/>
    <x v="159"/>
    <x v="10"/>
    <x v="0"/>
    <x v="4"/>
    <s v="Accessories"/>
    <x v="1"/>
    <n v="9057.44"/>
    <n v="8"/>
    <n v="757.28"/>
  </r>
  <r>
    <s v="ORD0174"/>
    <x v="160"/>
    <x v="4"/>
    <x v="1"/>
    <x v="4"/>
    <s v="Accessories"/>
    <x v="2"/>
    <n v="2297.21"/>
    <n v="5"/>
    <n v="376.33"/>
  </r>
  <r>
    <s v="ORD0175"/>
    <x v="161"/>
    <x v="3"/>
    <x v="0"/>
    <x v="3"/>
    <s v="Electronics"/>
    <x v="2"/>
    <n v="1579.15"/>
    <n v="4"/>
    <n v="317.45999999999998"/>
  </r>
  <r>
    <s v="ORD0176"/>
    <x v="162"/>
    <x v="0"/>
    <x v="0"/>
    <x v="4"/>
    <s v="Accessories"/>
    <x v="3"/>
    <n v="2173.4299999999998"/>
    <n v="7"/>
    <n v="234.09"/>
  </r>
  <r>
    <s v="ORD0177"/>
    <x v="68"/>
    <x v="6"/>
    <x v="1"/>
    <x v="0"/>
    <s v="Electronics"/>
    <x v="0"/>
    <n v="7827.33"/>
    <n v="8"/>
    <n v="669.61"/>
  </r>
  <r>
    <s v="ORD0178"/>
    <x v="81"/>
    <x v="1"/>
    <x v="0"/>
    <x v="2"/>
    <s v="Accessories"/>
    <x v="3"/>
    <n v="2765.79"/>
    <n v="4"/>
    <n v="504.3"/>
  </r>
  <r>
    <s v="ORD0179"/>
    <x v="163"/>
    <x v="7"/>
    <x v="1"/>
    <x v="0"/>
    <s v="Electronics"/>
    <x v="1"/>
    <n v="1968.93"/>
    <n v="2"/>
    <n v="724.65"/>
  </r>
  <r>
    <s v="ORD0180"/>
    <x v="164"/>
    <x v="5"/>
    <x v="0"/>
    <x v="4"/>
    <s v="Accessories"/>
    <x v="2"/>
    <n v="3510.6"/>
    <n v="10"/>
    <n v="304.58999999999997"/>
  </r>
  <r>
    <s v="ORD0181"/>
    <x v="165"/>
    <x v="10"/>
    <x v="1"/>
    <x v="4"/>
    <s v="Accessories"/>
    <x v="3"/>
    <n v="749.54"/>
    <n v="3"/>
    <n v="176.62"/>
  </r>
  <r>
    <s v="ORD0182"/>
    <x v="166"/>
    <x v="11"/>
    <x v="0"/>
    <x v="4"/>
    <s v="Accessories"/>
    <x v="3"/>
    <n v="5415.38"/>
    <n v="5"/>
    <n v="732.96"/>
  </r>
  <r>
    <s v="ORD0183"/>
    <x v="167"/>
    <x v="3"/>
    <x v="0"/>
    <x v="4"/>
    <s v="Accessories"/>
    <x v="3"/>
    <n v="7132.63"/>
    <n v="8"/>
    <n v="771.06"/>
  </r>
  <r>
    <s v="ORD0184"/>
    <x v="82"/>
    <x v="2"/>
    <x v="1"/>
    <x v="2"/>
    <s v="Accessories"/>
    <x v="2"/>
    <n v="682.55"/>
    <n v="6"/>
    <n v="90.44"/>
  </r>
  <r>
    <s v="ORD0185"/>
    <x v="96"/>
    <x v="3"/>
    <x v="1"/>
    <x v="4"/>
    <s v="Accessories"/>
    <x v="0"/>
    <n v="4474.8599999999997"/>
    <n v="6"/>
    <n v="544.80999999999995"/>
  </r>
  <r>
    <s v="ORD0186"/>
    <x v="168"/>
    <x v="7"/>
    <x v="1"/>
    <x v="5"/>
    <s v="Accessories"/>
    <x v="2"/>
    <n v="748.41"/>
    <n v="6"/>
    <n v="104.51"/>
  </r>
  <r>
    <s v="ORD0187"/>
    <x v="169"/>
    <x v="6"/>
    <x v="1"/>
    <x v="1"/>
    <s v="Electronics"/>
    <x v="3"/>
    <n v="2844.66"/>
    <n v="4"/>
    <n v="525.16999999999996"/>
  </r>
  <r>
    <s v="ORD0188"/>
    <x v="170"/>
    <x v="7"/>
    <x v="1"/>
    <x v="3"/>
    <s v="Electronics"/>
    <x v="3"/>
    <n v="868.87"/>
    <n v="7"/>
    <n v="111.01"/>
  </r>
  <r>
    <s v="ORD0189"/>
    <x v="171"/>
    <x v="8"/>
    <x v="1"/>
    <x v="1"/>
    <s v="Electronics"/>
    <x v="3"/>
    <n v="278.79000000000002"/>
    <n v="2"/>
    <n v="95.81"/>
  </r>
  <r>
    <s v="ORD0190"/>
    <x v="172"/>
    <x v="3"/>
    <x v="1"/>
    <x v="2"/>
    <s v="Accessories"/>
    <x v="2"/>
    <n v="4552.09"/>
    <n v="6"/>
    <n v="542.98"/>
  </r>
  <r>
    <s v="ORD0191"/>
    <x v="173"/>
    <x v="1"/>
    <x v="1"/>
    <x v="5"/>
    <s v="Accessories"/>
    <x v="2"/>
    <n v="2903.53"/>
    <n v="3"/>
    <n v="710.62"/>
  </r>
  <r>
    <s v="ORD0192"/>
    <x v="111"/>
    <x v="7"/>
    <x v="0"/>
    <x v="3"/>
    <s v="Electronics"/>
    <x v="2"/>
    <n v="662.79"/>
    <n v="1"/>
    <n v="558.41999999999996"/>
  </r>
  <r>
    <s v="ORD0193"/>
    <x v="174"/>
    <x v="0"/>
    <x v="1"/>
    <x v="3"/>
    <s v="Electronics"/>
    <x v="1"/>
    <n v="1957.99"/>
    <n v="2"/>
    <n v="785.12"/>
  </r>
  <r>
    <s v="ORD0194"/>
    <x v="35"/>
    <x v="10"/>
    <x v="0"/>
    <x v="0"/>
    <s v="Electronics"/>
    <x v="3"/>
    <n v="2448.56"/>
    <n v="7"/>
    <n v="235.19"/>
  </r>
  <r>
    <s v="ORD0195"/>
    <x v="175"/>
    <x v="9"/>
    <x v="1"/>
    <x v="3"/>
    <s v="Electronics"/>
    <x v="0"/>
    <n v="2787.66"/>
    <n v="4"/>
    <n v="520.53"/>
  </r>
  <r>
    <s v="ORD0196"/>
    <x v="176"/>
    <x v="4"/>
    <x v="0"/>
    <x v="1"/>
    <s v="Electronics"/>
    <x v="0"/>
    <n v="4477.9799999999996"/>
    <n v="4"/>
    <n v="791.28"/>
  </r>
  <r>
    <s v="ORD0197"/>
    <x v="177"/>
    <x v="2"/>
    <x v="1"/>
    <x v="2"/>
    <s v="Accessories"/>
    <x v="0"/>
    <n v="2721.49"/>
    <n v="4"/>
    <n v="477.38"/>
  </r>
  <r>
    <s v="ORD0198"/>
    <x v="178"/>
    <x v="11"/>
    <x v="0"/>
    <x v="2"/>
    <s v="Accessories"/>
    <x v="3"/>
    <n v="320.57"/>
    <n v="10"/>
    <n v="22.21"/>
  </r>
  <r>
    <s v="ORD0199"/>
    <x v="179"/>
    <x v="2"/>
    <x v="1"/>
    <x v="2"/>
    <s v="Accessories"/>
    <x v="1"/>
    <n v="3676.95"/>
    <n v="5"/>
    <n v="642.84"/>
  </r>
  <r>
    <s v="ORD0200"/>
    <x v="180"/>
    <x v="0"/>
    <x v="0"/>
    <x v="1"/>
    <s v="Electronics"/>
    <x v="1"/>
    <n v="4562.1400000000003"/>
    <n v="6"/>
    <n v="636.19000000000005"/>
  </r>
  <r>
    <s v="ORD0201"/>
    <x v="181"/>
    <x v="11"/>
    <x v="0"/>
    <x v="4"/>
    <s v="Accessories"/>
    <x v="0"/>
    <n v="425.08"/>
    <n v="5"/>
    <n v="60.87"/>
  </r>
  <r>
    <s v="ORD0202"/>
    <x v="182"/>
    <x v="10"/>
    <x v="0"/>
    <x v="5"/>
    <s v="Accessories"/>
    <x v="0"/>
    <n v="3681.17"/>
    <n v="8"/>
    <n v="369.65"/>
  </r>
  <r>
    <s v="ORD0203"/>
    <x v="183"/>
    <x v="3"/>
    <x v="1"/>
    <x v="5"/>
    <s v="Accessories"/>
    <x v="0"/>
    <n v="2335.77"/>
    <n v="9"/>
    <n v="192.81"/>
  </r>
  <r>
    <s v="ORD0204"/>
    <x v="48"/>
    <x v="3"/>
    <x v="1"/>
    <x v="0"/>
    <s v="Electronics"/>
    <x v="3"/>
    <n v="87.11"/>
    <n v="1"/>
    <n v="67.44"/>
  </r>
  <r>
    <s v="ORD0205"/>
    <x v="184"/>
    <x v="4"/>
    <x v="1"/>
    <x v="3"/>
    <s v="Electronics"/>
    <x v="2"/>
    <n v="1178.1600000000001"/>
    <n v="2"/>
    <n v="402.41"/>
  </r>
  <r>
    <s v="ORD0206"/>
    <x v="185"/>
    <x v="9"/>
    <x v="0"/>
    <x v="1"/>
    <s v="Electronics"/>
    <x v="0"/>
    <n v="1561.2"/>
    <n v="10"/>
    <n v="135.69999999999999"/>
  </r>
  <r>
    <s v="ORD0207"/>
    <x v="186"/>
    <x v="0"/>
    <x v="1"/>
    <x v="5"/>
    <s v="Accessories"/>
    <x v="3"/>
    <n v="5559.47"/>
    <n v="10"/>
    <n v="433.83"/>
  </r>
  <r>
    <s v="ORD0208"/>
    <x v="187"/>
    <x v="3"/>
    <x v="0"/>
    <x v="5"/>
    <s v="Accessories"/>
    <x v="2"/>
    <n v="1864.19"/>
    <n v="2"/>
    <n v="685.18"/>
  </r>
  <r>
    <s v="ORD0209"/>
    <x v="188"/>
    <x v="10"/>
    <x v="1"/>
    <x v="5"/>
    <s v="Accessories"/>
    <x v="1"/>
    <n v="7215.62"/>
    <n v="8"/>
    <n v="712.71"/>
  </r>
  <r>
    <s v="ORD0210"/>
    <x v="165"/>
    <x v="10"/>
    <x v="1"/>
    <x v="3"/>
    <s v="Electronics"/>
    <x v="2"/>
    <n v="646.29"/>
    <n v="2"/>
    <n v="263.79000000000002"/>
  </r>
  <r>
    <s v="ORD0211"/>
    <x v="189"/>
    <x v="11"/>
    <x v="0"/>
    <x v="4"/>
    <s v="Accessories"/>
    <x v="3"/>
    <n v="829.37"/>
    <n v="8"/>
    <n v="72.36"/>
  </r>
  <r>
    <s v="ORD0212"/>
    <x v="190"/>
    <x v="3"/>
    <x v="0"/>
    <x v="1"/>
    <s v="Electronics"/>
    <x v="2"/>
    <n v="5183.17"/>
    <n v="6"/>
    <n v="653.17999999999995"/>
  </r>
  <r>
    <s v="ORD0213"/>
    <x v="191"/>
    <x v="9"/>
    <x v="1"/>
    <x v="5"/>
    <s v="Accessories"/>
    <x v="3"/>
    <n v="986.87"/>
    <n v="2"/>
    <n v="340.43"/>
  </r>
  <r>
    <s v="ORD0214"/>
    <x v="192"/>
    <x v="7"/>
    <x v="0"/>
    <x v="3"/>
    <s v="Electronics"/>
    <x v="0"/>
    <n v="3010.09"/>
    <n v="10"/>
    <n v="263.70999999999998"/>
  </r>
  <r>
    <s v="ORD0215"/>
    <x v="193"/>
    <x v="11"/>
    <x v="0"/>
    <x v="5"/>
    <s v="Accessories"/>
    <x v="1"/>
    <n v="1782.71"/>
    <n v="8"/>
    <n v="194.91"/>
  </r>
  <r>
    <s v="ORD0216"/>
    <x v="167"/>
    <x v="3"/>
    <x v="0"/>
    <x v="5"/>
    <s v="Accessories"/>
    <x v="3"/>
    <n v="3328.14"/>
    <n v="5"/>
    <n v="467.8"/>
  </r>
  <r>
    <s v="ORD0217"/>
    <x v="11"/>
    <x v="6"/>
    <x v="1"/>
    <x v="5"/>
    <s v="Accessories"/>
    <x v="0"/>
    <n v="257.45999999999998"/>
    <n v="5"/>
    <n v="42.58"/>
  </r>
  <r>
    <s v="ORD0218"/>
    <x v="194"/>
    <x v="4"/>
    <x v="0"/>
    <x v="4"/>
    <s v="Accessories"/>
    <x v="3"/>
    <n v="186.9"/>
    <n v="1"/>
    <n v="161.5"/>
  </r>
  <r>
    <s v="ORD0219"/>
    <x v="145"/>
    <x v="10"/>
    <x v="0"/>
    <x v="0"/>
    <s v="Electronics"/>
    <x v="2"/>
    <n v="2670.59"/>
    <n v="3"/>
    <n v="597.96"/>
  </r>
  <r>
    <s v="ORD0220"/>
    <x v="195"/>
    <x v="0"/>
    <x v="1"/>
    <x v="1"/>
    <s v="Electronics"/>
    <x v="1"/>
    <n v="3043.34"/>
    <n v="7"/>
    <n v="373.84"/>
  </r>
  <r>
    <s v="ORD0221"/>
    <x v="196"/>
    <x v="1"/>
    <x v="1"/>
    <x v="4"/>
    <s v="Accessories"/>
    <x v="3"/>
    <n v="967.12"/>
    <n v="10"/>
    <n v="86.27"/>
  </r>
  <r>
    <s v="ORD0222"/>
    <x v="197"/>
    <x v="9"/>
    <x v="1"/>
    <x v="2"/>
    <s v="Accessories"/>
    <x v="0"/>
    <n v="633.91"/>
    <n v="2"/>
    <n v="232.24"/>
  </r>
  <r>
    <s v="ORD0223"/>
    <x v="79"/>
    <x v="5"/>
    <x v="1"/>
    <x v="3"/>
    <s v="Electronics"/>
    <x v="2"/>
    <n v="1227.56"/>
    <n v="5"/>
    <n v="188.14"/>
  </r>
  <r>
    <s v="ORD0224"/>
    <x v="198"/>
    <x v="3"/>
    <x v="0"/>
    <x v="4"/>
    <s v="Accessories"/>
    <x v="2"/>
    <n v="3670.83"/>
    <n v="5"/>
    <n v="549.01"/>
  </r>
  <r>
    <s v="ORD0225"/>
    <x v="199"/>
    <x v="5"/>
    <x v="0"/>
    <x v="5"/>
    <s v="Accessories"/>
    <x v="3"/>
    <n v="1759.39"/>
    <n v="4"/>
    <n v="328.31"/>
  </r>
  <r>
    <s v="ORD0226"/>
    <x v="200"/>
    <x v="9"/>
    <x v="0"/>
    <x v="1"/>
    <s v="Electronics"/>
    <x v="1"/>
    <n v="3477.78"/>
    <n v="4"/>
    <n v="618.53"/>
  </r>
  <r>
    <s v="ORD0227"/>
    <x v="201"/>
    <x v="8"/>
    <x v="0"/>
    <x v="4"/>
    <s v="Accessories"/>
    <x v="3"/>
    <n v="519.03"/>
    <n v="1"/>
    <n v="407.96"/>
  </r>
  <r>
    <s v="ORD0228"/>
    <x v="202"/>
    <x v="11"/>
    <x v="1"/>
    <x v="2"/>
    <s v="Accessories"/>
    <x v="2"/>
    <n v="2351.83"/>
    <n v="4"/>
    <n v="410.2"/>
  </r>
  <r>
    <s v="ORD0229"/>
    <x v="102"/>
    <x v="5"/>
    <x v="1"/>
    <x v="4"/>
    <s v="Accessories"/>
    <x v="0"/>
    <n v="462.53"/>
    <n v="1"/>
    <n v="360.25"/>
  </r>
  <r>
    <s v="ORD0230"/>
    <x v="203"/>
    <x v="1"/>
    <x v="1"/>
    <x v="1"/>
    <s v="Electronics"/>
    <x v="3"/>
    <n v="4526.0600000000004"/>
    <n v="7"/>
    <n v="467.25"/>
  </r>
  <r>
    <s v="ORD0231"/>
    <x v="167"/>
    <x v="3"/>
    <x v="0"/>
    <x v="3"/>
    <s v="Electronics"/>
    <x v="3"/>
    <n v="312.26"/>
    <n v="7"/>
    <n v="36.270000000000003"/>
  </r>
  <r>
    <s v="ORD0232"/>
    <x v="160"/>
    <x v="4"/>
    <x v="1"/>
    <x v="5"/>
    <s v="Accessories"/>
    <x v="2"/>
    <n v="765.54"/>
    <n v="6"/>
    <n v="88.74"/>
  </r>
  <r>
    <s v="ORD0233"/>
    <x v="204"/>
    <x v="1"/>
    <x v="1"/>
    <x v="2"/>
    <s v="Accessories"/>
    <x v="2"/>
    <n v="3775.96"/>
    <n v="7"/>
    <n v="428.69"/>
  </r>
  <r>
    <s v="ORD0234"/>
    <x v="205"/>
    <x v="1"/>
    <x v="0"/>
    <x v="4"/>
    <s v="Accessories"/>
    <x v="3"/>
    <n v="4257.95"/>
    <n v="6"/>
    <n v="627.71"/>
  </r>
  <r>
    <s v="ORD0235"/>
    <x v="156"/>
    <x v="11"/>
    <x v="1"/>
    <x v="0"/>
    <s v="Electronics"/>
    <x v="0"/>
    <n v="2173.79"/>
    <n v="9"/>
    <n v="171.24"/>
  </r>
  <r>
    <s v="ORD0236"/>
    <x v="206"/>
    <x v="1"/>
    <x v="0"/>
    <x v="4"/>
    <s v="Accessories"/>
    <x v="1"/>
    <n v="316.49"/>
    <n v="2"/>
    <n v="134.22999999999999"/>
  </r>
  <r>
    <s v="ORD0237"/>
    <x v="207"/>
    <x v="9"/>
    <x v="1"/>
    <x v="5"/>
    <s v="Accessories"/>
    <x v="1"/>
    <n v="445.77"/>
    <n v="2"/>
    <n v="158.16999999999999"/>
  </r>
  <r>
    <s v="ORD0238"/>
    <x v="100"/>
    <x v="2"/>
    <x v="1"/>
    <x v="3"/>
    <s v="Electronics"/>
    <x v="2"/>
    <n v="5439.95"/>
    <n v="10"/>
    <n v="370.15"/>
  </r>
  <r>
    <s v="ORD0239"/>
    <x v="208"/>
    <x v="7"/>
    <x v="1"/>
    <x v="5"/>
    <s v="Accessories"/>
    <x v="3"/>
    <n v="931.73"/>
    <n v="6"/>
    <n v="137.75"/>
  </r>
  <r>
    <s v="ORD0240"/>
    <x v="209"/>
    <x v="7"/>
    <x v="0"/>
    <x v="3"/>
    <s v="Electronics"/>
    <x v="3"/>
    <n v="831.4"/>
    <n v="10"/>
    <n v="63.81"/>
  </r>
  <r>
    <s v="ORD0241"/>
    <x v="183"/>
    <x v="3"/>
    <x v="1"/>
    <x v="4"/>
    <s v="Accessories"/>
    <x v="2"/>
    <n v="92.22"/>
    <n v="1"/>
    <n v="64.37"/>
  </r>
  <r>
    <s v="ORD0242"/>
    <x v="210"/>
    <x v="6"/>
    <x v="1"/>
    <x v="1"/>
    <s v="Electronics"/>
    <x v="0"/>
    <n v="5339.66"/>
    <n v="10"/>
    <n v="415.51"/>
  </r>
  <r>
    <s v="ORD0243"/>
    <x v="211"/>
    <x v="3"/>
    <x v="1"/>
    <x v="5"/>
    <s v="Accessories"/>
    <x v="0"/>
    <n v="6492.35"/>
    <n v="10"/>
    <n v="528.42999999999995"/>
  </r>
  <r>
    <s v="ORD0244"/>
    <x v="212"/>
    <x v="10"/>
    <x v="0"/>
    <x v="3"/>
    <s v="Electronics"/>
    <x v="1"/>
    <n v="1176.24"/>
    <n v="8"/>
    <n v="100.73"/>
  </r>
  <r>
    <s v="ORD0245"/>
    <x v="213"/>
    <x v="8"/>
    <x v="1"/>
    <x v="4"/>
    <s v="Accessories"/>
    <x v="0"/>
    <n v="209.66"/>
    <n v="3"/>
    <n v="50.53"/>
  </r>
  <r>
    <s v="ORD0246"/>
    <x v="70"/>
    <x v="0"/>
    <x v="1"/>
    <x v="3"/>
    <s v="Electronics"/>
    <x v="1"/>
    <n v="5541.86"/>
    <n v="6"/>
    <n v="735.99"/>
  </r>
  <r>
    <s v="ORD0247"/>
    <x v="154"/>
    <x v="7"/>
    <x v="1"/>
    <x v="4"/>
    <s v="Accessories"/>
    <x v="0"/>
    <n v="487.5"/>
    <n v="6"/>
    <n v="71.41"/>
  </r>
  <r>
    <s v="ORD0248"/>
    <x v="214"/>
    <x v="7"/>
    <x v="0"/>
    <x v="0"/>
    <s v="Electronics"/>
    <x v="2"/>
    <n v="3982.34"/>
    <n v="5"/>
    <n v="584.51"/>
  </r>
  <r>
    <s v="ORD0249"/>
    <x v="176"/>
    <x v="4"/>
    <x v="0"/>
    <x v="5"/>
    <s v="Accessories"/>
    <x v="1"/>
    <n v="1097.68"/>
    <n v="2"/>
    <n v="474.54"/>
  </r>
  <r>
    <s v="ORD0250"/>
    <x v="207"/>
    <x v="9"/>
    <x v="1"/>
    <x v="4"/>
    <s v="Accessories"/>
    <x v="3"/>
    <n v="1167.79"/>
    <n v="7"/>
    <n v="120.58"/>
  </r>
  <r>
    <s v="ORD0251"/>
    <x v="215"/>
    <x v="2"/>
    <x v="1"/>
    <x v="1"/>
    <s v="Electronics"/>
    <x v="3"/>
    <n v="4498.8100000000004"/>
    <n v="7"/>
    <n v="521.91999999999996"/>
  </r>
  <r>
    <s v="ORD0252"/>
    <x v="113"/>
    <x v="7"/>
    <x v="1"/>
    <x v="2"/>
    <s v="Accessories"/>
    <x v="0"/>
    <n v="3229.24"/>
    <n v="7"/>
    <n v="416.62"/>
  </r>
  <r>
    <s v="ORD0253"/>
    <x v="216"/>
    <x v="1"/>
    <x v="0"/>
    <x v="4"/>
    <s v="Accessories"/>
    <x v="1"/>
    <n v="5896.59"/>
    <n v="6"/>
    <n v="759.18"/>
  </r>
  <r>
    <s v="ORD0254"/>
    <x v="193"/>
    <x v="11"/>
    <x v="0"/>
    <x v="2"/>
    <s v="Accessories"/>
    <x v="1"/>
    <n v="709.66"/>
    <n v="2"/>
    <n v="250.72"/>
  </r>
  <r>
    <s v="ORD0255"/>
    <x v="217"/>
    <x v="9"/>
    <x v="1"/>
    <x v="5"/>
    <s v="Accessories"/>
    <x v="0"/>
    <n v="5687.31"/>
    <n v="6"/>
    <n v="703.59"/>
  </r>
  <r>
    <s v="ORD0256"/>
    <x v="218"/>
    <x v="11"/>
    <x v="0"/>
    <x v="5"/>
    <s v="Accessories"/>
    <x v="2"/>
    <n v="665.41"/>
    <n v="3"/>
    <n v="161.06"/>
  </r>
  <r>
    <s v="ORD0257"/>
    <x v="219"/>
    <x v="10"/>
    <x v="1"/>
    <x v="5"/>
    <s v="Accessories"/>
    <x v="1"/>
    <n v="466.63"/>
    <n v="1"/>
    <n v="340.47"/>
  </r>
  <r>
    <s v="ORD0258"/>
    <x v="220"/>
    <x v="6"/>
    <x v="1"/>
    <x v="2"/>
    <s v="Accessories"/>
    <x v="2"/>
    <n v="4289.1099999999997"/>
    <n v="5"/>
    <n v="606.87"/>
  </r>
  <r>
    <s v="ORD0259"/>
    <x v="221"/>
    <x v="9"/>
    <x v="0"/>
    <x v="2"/>
    <s v="Accessories"/>
    <x v="1"/>
    <n v="6831.06"/>
    <n v="8"/>
    <n v="725.1"/>
  </r>
  <r>
    <s v="ORD0260"/>
    <x v="142"/>
    <x v="3"/>
    <x v="1"/>
    <x v="0"/>
    <s v="Electronics"/>
    <x v="2"/>
    <n v="4078.75"/>
    <n v="5"/>
    <n v="626.94000000000005"/>
  </r>
  <r>
    <s v="ORD0261"/>
    <x v="99"/>
    <x v="2"/>
    <x v="0"/>
    <x v="3"/>
    <s v="Electronics"/>
    <x v="1"/>
    <n v="1535.4"/>
    <n v="10"/>
    <n v="127.95"/>
  </r>
  <r>
    <s v="ORD0262"/>
    <x v="222"/>
    <x v="0"/>
    <x v="1"/>
    <x v="0"/>
    <s v="Electronics"/>
    <x v="2"/>
    <n v="9330.2099999999991"/>
    <n v="9"/>
    <n v="748.75"/>
  </r>
  <r>
    <s v="ORD0263"/>
    <x v="223"/>
    <x v="7"/>
    <x v="0"/>
    <x v="5"/>
    <s v="Accessories"/>
    <x v="0"/>
    <n v="1487.77"/>
    <n v="2"/>
    <n v="615.23"/>
  </r>
  <r>
    <s v="ORD0264"/>
    <x v="224"/>
    <x v="10"/>
    <x v="1"/>
    <x v="5"/>
    <s v="Accessories"/>
    <x v="1"/>
    <n v="1802.72"/>
    <n v="2"/>
    <n v="758.2"/>
  </r>
  <r>
    <s v="ORD0265"/>
    <x v="225"/>
    <x v="0"/>
    <x v="0"/>
    <x v="3"/>
    <s v="Electronics"/>
    <x v="3"/>
    <n v="560.36"/>
    <n v="7"/>
    <n v="61.54"/>
  </r>
  <r>
    <s v="ORD0266"/>
    <x v="226"/>
    <x v="10"/>
    <x v="0"/>
    <x v="2"/>
    <s v="Accessories"/>
    <x v="2"/>
    <n v="1437.18"/>
    <n v="6"/>
    <n v="195.14"/>
  </r>
  <r>
    <s v="ORD0267"/>
    <x v="227"/>
    <x v="8"/>
    <x v="0"/>
    <x v="1"/>
    <s v="Electronics"/>
    <x v="3"/>
    <n v="219.52"/>
    <n v="3"/>
    <n v="49.88"/>
  </r>
  <r>
    <s v="ORD0268"/>
    <x v="228"/>
    <x v="4"/>
    <x v="1"/>
    <x v="3"/>
    <s v="Electronics"/>
    <x v="1"/>
    <n v="3261.42"/>
    <n v="8"/>
    <n v="369.91"/>
  </r>
  <r>
    <s v="ORD0269"/>
    <x v="229"/>
    <x v="6"/>
    <x v="0"/>
    <x v="1"/>
    <s v="Electronics"/>
    <x v="0"/>
    <n v="3543.02"/>
    <n v="4"/>
    <n v="671.27"/>
  </r>
  <r>
    <s v="ORD0270"/>
    <x v="198"/>
    <x v="3"/>
    <x v="0"/>
    <x v="0"/>
    <s v="Electronics"/>
    <x v="2"/>
    <n v="1179.53"/>
    <n v="5"/>
    <n v="205.36"/>
  </r>
  <r>
    <s v="ORD0271"/>
    <x v="22"/>
    <x v="7"/>
    <x v="1"/>
    <x v="2"/>
    <s v="Accessories"/>
    <x v="2"/>
    <n v="4309.0200000000004"/>
    <n v="10"/>
    <n v="376.55"/>
  </r>
  <r>
    <s v="ORD0272"/>
    <x v="230"/>
    <x v="7"/>
    <x v="1"/>
    <x v="3"/>
    <s v="Electronics"/>
    <x v="0"/>
    <n v="5850.55"/>
    <n v="9"/>
    <n v="468.54"/>
  </r>
  <r>
    <s v="ORD0273"/>
    <x v="231"/>
    <x v="0"/>
    <x v="0"/>
    <x v="4"/>
    <s v="Accessories"/>
    <x v="2"/>
    <n v="3921.04"/>
    <n v="10"/>
    <n v="295.2"/>
  </r>
  <r>
    <s v="ORD0274"/>
    <x v="232"/>
    <x v="11"/>
    <x v="1"/>
    <x v="2"/>
    <s v="Accessories"/>
    <x v="0"/>
    <n v="572.30999999999995"/>
    <n v="6"/>
    <n v="72.790000000000006"/>
  </r>
  <r>
    <s v="ORD0275"/>
    <x v="233"/>
    <x v="5"/>
    <x v="1"/>
    <x v="5"/>
    <s v="Accessories"/>
    <x v="0"/>
    <n v="541.65"/>
    <n v="8"/>
    <n v="53.96"/>
  </r>
  <r>
    <s v="ORD0276"/>
    <x v="234"/>
    <x v="0"/>
    <x v="0"/>
    <x v="4"/>
    <s v="Accessories"/>
    <x v="3"/>
    <n v="4716.8500000000004"/>
    <n v="6"/>
    <n v="635.04999999999995"/>
  </r>
  <r>
    <s v="ORD0277"/>
    <x v="235"/>
    <x v="1"/>
    <x v="1"/>
    <x v="0"/>
    <s v="Electronics"/>
    <x v="0"/>
    <n v="923.69"/>
    <n v="6"/>
    <n v="124.06"/>
  </r>
  <r>
    <s v="ORD0278"/>
    <x v="236"/>
    <x v="4"/>
    <x v="1"/>
    <x v="4"/>
    <s v="Accessories"/>
    <x v="1"/>
    <n v="8110.48"/>
    <n v="8"/>
    <n v="785.04"/>
  </r>
  <r>
    <s v="ORD0279"/>
    <x v="237"/>
    <x v="10"/>
    <x v="0"/>
    <x v="2"/>
    <s v="Accessories"/>
    <x v="1"/>
    <n v="461.39"/>
    <n v="8"/>
    <n v="48.85"/>
  </r>
  <r>
    <s v="ORD0280"/>
    <x v="238"/>
    <x v="9"/>
    <x v="0"/>
    <x v="2"/>
    <s v="Accessories"/>
    <x v="0"/>
    <n v="3155.82"/>
    <n v="5"/>
    <n v="422"/>
  </r>
  <r>
    <s v="ORD0281"/>
    <x v="239"/>
    <x v="6"/>
    <x v="0"/>
    <x v="5"/>
    <s v="Accessories"/>
    <x v="2"/>
    <n v="714.77"/>
    <n v="1"/>
    <n v="607.57000000000005"/>
  </r>
  <r>
    <s v="ORD0282"/>
    <x v="207"/>
    <x v="9"/>
    <x v="1"/>
    <x v="4"/>
    <s v="Accessories"/>
    <x v="0"/>
    <n v="1985.73"/>
    <n v="6"/>
    <n v="233.11"/>
  </r>
  <r>
    <s v="ORD0283"/>
    <x v="240"/>
    <x v="10"/>
    <x v="1"/>
    <x v="3"/>
    <s v="Electronics"/>
    <x v="2"/>
    <n v="2339.06"/>
    <n v="7"/>
    <n v="284.45"/>
  </r>
  <r>
    <s v="ORD0284"/>
    <x v="241"/>
    <x v="0"/>
    <x v="1"/>
    <x v="0"/>
    <s v="Electronics"/>
    <x v="2"/>
    <n v="2325.42"/>
    <n v="9"/>
    <n v="228.04"/>
  </r>
  <r>
    <s v="ORD0285"/>
    <x v="188"/>
    <x v="10"/>
    <x v="1"/>
    <x v="3"/>
    <s v="Electronics"/>
    <x v="0"/>
    <n v="9332.68"/>
    <n v="10"/>
    <n v="796.18"/>
  </r>
  <r>
    <s v="ORD0286"/>
    <x v="242"/>
    <x v="3"/>
    <x v="0"/>
    <x v="4"/>
    <s v="Accessories"/>
    <x v="3"/>
    <n v="671.94"/>
    <n v="2"/>
    <n v="275.77999999999997"/>
  </r>
  <r>
    <s v="ORD0287"/>
    <x v="243"/>
    <x v="11"/>
    <x v="0"/>
    <x v="3"/>
    <s v="Electronics"/>
    <x v="2"/>
    <n v="2628.92"/>
    <n v="8"/>
    <n v="294.20999999999998"/>
  </r>
  <r>
    <s v="ORD0288"/>
    <x v="209"/>
    <x v="7"/>
    <x v="0"/>
    <x v="4"/>
    <s v="Accessories"/>
    <x v="2"/>
    <n v="106.41"/>
    <n v="1"/>
    <n v="78.53"/>
  </r>
  <r>
    <s v="ORD0289"/>
    <x v="244"/>
    <x v="5"/>
    <x v="0"/>
    <x v="4"/>
    <s v="Accessories"/>
    <x v="1"/>
    <n v="2805.38"/>
    <n v="3"/>
    <n v="681.96"/>
  </r>
  <r>
    <s v="ORD0290"/>
    <x v="245"/>
    <x v="8"/>
    <x v="0"/>
    <x v="3"/>
    <s v="Electronics"/>
    <x v="0"/>
    <n v="554.30999999999995"/>
    <n v="2"/>
    <n v="204.08"/>
  </r>
  <r>
    <s v="ORD0291"/>
    <x v="246"/>
    <x v="1"/>
    <x v="1"/>
    <x v="4"/>
    <s v="Accessories"/>
    <x v="2"/>
    <n v="674.8"/>
    <n v="1"/>
    <n v="491.97"/>
  </r>
  <r>
    <s v="ORD0292"/>
    <x v="247"/>
    <x v="10"/>
    <x v="1"/>
    <x v="4"/>
    <s v="Accessories"/>
    <x v="3"/>
    <n v="1226.94"/>
    <n v="2"/>
    <n v="467.66"/>
  </r>
  <r>
    <s v="ORD0293"/>
    <x v="248"/>
    <x v="7"/>
    <x v="1"/>
    <x v="3"/>
    <s v="Electronics"/>
    <x v="3"/>
    <n v="1229.56"/>
    <n v="5"/>
    <n v="214.7"/>
  </r>
  <r>
    <s v="ORD0294"/>
    <x v="249"/>
    <x v="8"/>
    <x v="1"/>
    <x v="0"/>
    <s v="Electronics"/>
    <x v="1"/>
    <n v="3837.1"/>
    <n v="9"/>
    <n v="321.85000000000002"/>
  </r>
  <r>
    <s v="ORD0295"/>
    <x v="250"/>
    <x v="4"/>
    <x v="1"/>
    <x v="4"/>
    <s v="Accessories"/>
    <x v="3"/>
    <n v="2015.62"/>
    <n v="8"/>
    <n v="187.36"/>
  </r>
  <r>
    <s v="ORD0296"/>
    <x v="99"/>
    <x v="2"/>
    <x v="0"/>
    <x v="0"/>
    <s v="Electronics"/>
    <x v="2"/>
    <n v="284.37"/>
    <n v="2"/>
    <n v="125.87"/>
  </r>
  <r>
    <s v="ORD0297"/>
    <x v="251"/>
    <x v="10"/>
    <x v="0"/>
    <x v="2"/>
    <s v="Accessories"/>
    <x v="2"/>
    <n v="4491.2"/>
    <n v="6"/>
    <n v="540.91999999999996"/>
  </r>
  <r>
    <s v="ORD0298"/>
    <x v="252"/>
    <x v="9"/>
    <x v="0"/>
    <x v="5"/>
    <s v="Accessories"/>
    <x v="3"/>
    <n v="2538.2800000000002"/>
    <n v="3"/>
    <n v="575.21"/>
  </r>
  <r>
    <s v="ORD0299"/>
    <x v="253"/>
    <x v="0"/>
    <x v="1"/>
    <x v="0"/>
    <s v="Electronics"/>
    <x v="1"/>
    <n v="2620.85"/>
    <n v="9"/>
    <n v="194.91"/>
  </r>
  <r>
    <s v="ORD0300"/>
    <x v="254"/>
    <x v="8"/>
    <x v="1"/>
    <x v="2"/>
    <s v="Accessories"/>
    <x v="1"/>
    <n v="400.67"/>
    <n v="1"/>
    <n v="30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6DF06-A383-420F-B028-244B246C95D5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7:M62" firstHeaderRow="0" firstDataRow="1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dataField="1"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" fld="9" baseField="0" baseItem="0"/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3562-BE5D-4D32-AACD-E0234ED79410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7:R65" firstHeaderRow="1" firstDataRow="2" firstDataCol="1" rowPageCount="1" colPageCount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showAll="0"/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/>
    <pivotField axis="axisPage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 v="1"/>
    </i>
    <i>
      <x v="2"/>
    </i>
    <i t="grand">
      <x/>
    </i>
  </colItems>
  <pageFields count="1">
    <pageField fld="6" hier="-1"/>
  </pageField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00FC5-D4B2-4E9C-8494-5A63F20106B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6:S10" firstHeaderRow="0" firstDataRow="1" firstDataCol="1"/>
  <pivotFields count="11"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3" baseItem="0"/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662B6-B946-4D5F-ABE5-69FEE644055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0" firstDataRow="1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7" baseField="0" baseItem="0"/>
    <dataField name="Sum of Quantity" fld="8" baseField="0" baseItem="0"/>
    <dataField name="Sum of Cost" fld="9" baseField="0" baseItem="0"/>
    <dataField name="Sum of Profit" fld="10" baseField="0" baseItem="0"/>
  </dataFields>
  <formats count="13">
    <format dxfId="12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1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9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3"/>
          </reference>
          <reference field="3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3"/>
          </reference>
          <reference field="3" count="1">
            <x v="0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2"/>
          </reference>
          <reference field="3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3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4D15E-C706-4C39-8977-F180AEEA9108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36:N42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Profit" fld="10" baseField="0" baseItem="0"/>
  </dataFields>
  <formats count="1">
    <format dxfId="13">
      <pivotArea outline="0" collapsedLevelsAreSubtotals="1" fieldPosition="0"/>
    </format>
  </format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26136-27BC-4872-A851-7B2B77BF103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5:R32" firstHeaderRow="1" firstDataRow="1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showAll="0"/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76C1E-2457-46F1-82DC-9F9AE4CC0E27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5:R42" firstHeaderRow="1" firstDataRow="1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showAll="0"/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9AF4A-C36A-45A7-94DA-02B0B466C7B1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K3:N9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4"/>
  </dataFields>
  <formats count="1">
    <format dxfId="14">
      <pivotArea outline="0" collapsedLevelsAreSubtotals="1" fieldPosition="0"/>
    </format>
  </formats>
  <chartFormats count="2"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EDDAA-274A-4CF4-A512-841E3DA2554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57:D63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4"/>
  </dataFields>
  <formats count="1">
    <format dxfId="15">
      <pivotArea outline="0" collapsedLevelsAreSubtotals="1" fieldPosition="0"/>
    </format>
  </formats>
  <chartFormats count="2"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36A95-4CFD-49E5-B62E-FEC6205E7C89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F69:H75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multipleItemSelectionAllowed="1"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5">
        <item h="1" x="0"/>
        <item h="1" x="1"/>
        <item x="2"/>
        <item h="1"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2">
    <i>
      <x v="2"/>
    </i>
    <i t="grand">
      <x/>
    </i>
  </colItems>
  <dataFields count="1">
    <dataField name="Sum of Profit" fld="10" baseField="0" baseItem="0"/>
  </dataFields>
  <formats count="1">
    <format dxfId="16">
      <pivotArea outline="0" collapsedLevelsAreSubtotals="1" fieldPosition="0"/>
    </format>
  </formats>
  <chartFormats count="27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2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2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2"/>
          </reference>
        </references>
      </pivotArea>
    </chartFormat>
    <chartFormat chart="32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2"/>
          </reference>
        </references>
      </pivotArea>
    </chartFormat>
    <chartFormat chart="32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2"/>
          </reference>
        </references>
      </pivotArea>
    </chartFormat>
    <chartFormat chart="32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8B662-BDFC-4D91-98B8-05EE93A1862E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22:I36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axis="axisRow"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Profit" fld="10" baseField="0" baseItem="0" numFmtId="165"/>
  </dataFields>
  <formats count="1">
    <format dxfId="17">
      <pivotArea outline="0" collapsedLevelsAreSubtotals="1" fieldPosition="0"/>
    </format>
  </formats>
  <chartFormats count="3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0608F-F6B3-4F9E-B722-694617A7D846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5:R83" firstHeaderRow="1" firstDataRow="2" firstDataCol="1" rowPageCount="1" colPageCount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showAll="0"/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/>
    <pivotField axis="axisPage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 v="1"/>
    </i>
    <i>
      <x v="2"/>
    </i>
    <i t="grand">
      <x/>
    </i>
  </colItems>
  <pageFields count="1">
    <pageField fld="6" hier="-1"/>
  </pageField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897D8-0BB6-4997-AAA0-1A9AA957EEBA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K25:N31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st" fld="9" baseField="0" baseItem="0"/>
  </dataFields>
  <formats count="1">
    <format dxfId="18">
      <pivotArea outline="0" collapsedLevelsAreSubtotals="1" fieldPosition="0"/>
    </format>
  </formats>
  <chartFormats count="2">
    <chartFormat chart="1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1DA0F-EE34-42D9-AD0A-965FDBA1058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F44:I52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Profit" fld="10" baseField="0" baseItem="0" numFmtId="165"/>
  </dataFields>
  <formats count="1">
    <format dxfId="19">
      <pivotArea outline="0" collapsedLevelsAreSubtotals="1" fieldPosition="0"/>
    </format>
  </formats>
  <chartFormats count="2"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949D9-1AA4-47D4-A5C0-352B40C00B4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4:D52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4"/>
  </dataFields>
  <formats count="1">
    <format dxfId="20">
      <pivotArea outline="0" collapsedLevelsAreSubtotals="1" fieldPosition="0"/>
    </format>
  </formats>
  <chartFormats count="3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2B5E5-9FF2-49C9-9456-D580059EB366}" name="PivotTable2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7">
  <location ref="U33:W46" firstHeaderRow="0" firstDataRow="1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axis="axisRow"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2" baseItem="0" numFmtId="164"/>
    <dataField name="Total Cost" fld="9" baseField="2" baseItem="0"/>
  </dataFields>
  <formats count="1">
    <format dxfId="21">
      <pivotArea outline="0" collapsedLevelsAreSubtotals="1" fieldPosition="0"/>
    </format>
  </formats>
  <chartFormats count="2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84F11-5A49-41B7-894B-60282D55859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F57:H63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multipleItemSelectionAllowed="1"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5">
        <item h="1" x="0"/>
        <item x="1"/>
        <item h="1" x="2"/>
        <item h="1"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2">
    <i>
      <x v="1"/>
    </i>
    <i t="grand">
      <x/>
    </i>
  </colItems>
  <dataFields count="1">
    <dataField name="Sum of Profit" fld="10" baseField="0" baseItem="0"/>
  </dataFields>
  <formats count="1">
    <format dxfId="22">
      <pivotArea outline="0" collapsedLevelsAreSubtotals="1" fieldPosition="0"/>
    </format>
  </formats>
  <chartFormats count="15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4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"/>
          </reference>
        </references>
      </pivotArea>
    </chartFormat>
    <chartFormat chart="34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"/>
          </reference>
        </references>
      </pivotArea>
    </chartFormat>
    <chartFormat chart="34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3" count="1" selected="0">
            <x v="1"/>
          </reference>
        </references>
      </pivotArea>
    </chartFormat>
    <chartFormat chart="34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30452-7EBF-4A81-B34C-DBFFA54A9D29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K14:N20" firstHeaderRow="1" firstDataRow="2" firstDataCol="1"/>
  <pivotFields count="14">
    <pivotField showAll="0"/>
    <pivotField numFmtId="14"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Quantity" fld="8" baseField="0" baseItem="0"/>
  </dataFields>
  <formats count="1">
    <format dxfId="23">
      <pivotArea outline="0" collapsedLevelsAreSubtotals="1" fieldPosition="0"/>
    </format>
  </formats>
  <chartFormats count="2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5C94C-5162-426F-AFF7-00B09F5F19EA}" name="Table1" displayName="Table1" ref="A1:J301" totalsRowShown="0" headerRowDxfId="38" dataDxfId="36" headerRowBorderDxfId="37" tableBorderDxfId="35" totalsRowBorderDxfId="34">
  <autoFilter ref="A1:J301" xr:uid="{CCE5C94C-5162-426F-AFF7-00B09F5F19EA}"/>
  <tableColumns count="10">
    <tableColumn id="1" xr3:uid="{2B721AB7-C69F-4836-A4E0-8EA857CAE079}" name="OrderID" dataDxfId="33"/>
    <tableColumn id="2" xr3:uid="{A2016B7D-7EFE-4442-9401-56A876A91A39}" name="Date" dataDxfId="32"/>
    <tableColumn id="10" xr3:uid="{15F04333-C13A-457D-961C-7A27AA2811B8}" name="Month" dataDxfId="31">
      <calculatedColumnFormula xml:space="preserve"> TEXT(Table1[[#This Row],[Date]], "MMM")</calculatedColumnFormula>
    </tableColumn>
    <tableColumn id="11" xr3:uid="{80D69753-C205-4A54-BD4A-3F7650FDB4CC}" name="Year" dataDxfId="30">
      <calculatedColumnFormula>TEXT(Table1[[#This Row],[Date]], "YYYY")</calculatedColumnFormula>
    </tableColumn>
    <tableColumn id="3" xr3:uid="{F2EDDF81-4920-4692-AB73-32E02CCC0842}" name="Product" dataDxfId="29"/>
    <tableColumn id="4" xr3:uid="{9B43B86D-E744-49A3-AE40-435AA5B47233}" name="Category" dataDxfId="28"/>
    <tableColumn id="5" xr3:uid="{FE1594ED-08D5-435B-B66D-B10425AC0218}" name="Region" dataDxfId="27"/>
    <tableColumn id="6" xr3:uid="{19DEF58D-33E2-44EB-A170-902E695B5AAC}" name="Sales" dataDxfId="26"/>
    <tableColumn id="7" xr3:uid="{FA22EB0A-1123-494D-A2A2-DC974E7B4714}" name="Quantity" dataDxfId="25"/>
    <tableColumn id="8" xr3:uid="{217BBFAC-80F3-4B04-A85F-C97A3BC278C2}" name="Cost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4D39647D-60A7-46D0-AEA3-5B19037C4FBF}" sourceName="Date">
  <pivotTables>
    <pivotTable tabId="2" name="PivotTable2"/>
  </pivotTables>
  <state minimalRefreshVersion="6" lastRefreshVersion="6" pivotCacheId="1007766032" filterType="unknown"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CCFE98C8-36BE-41DC-B0FC-E84E1C64C523}" cache="NativeTimeline_Date" caption="Date" showHeader="0" showSelectionLabel="0" showTimeLevel="0" level="0" selectionLevel="0" scrollPosition="2023-01-01T00:00:00" style="Timeline Style 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A5F6-9BED-4040-943F-FB133D3673D3}">
  <dimension ref="A1:J301"/>
  <sheetViews>
    <sheetView workbookViewId="0"/>
  </sheetViews>
  <sheetFormatPr defaultRowHeight="15" x14ac:dyDescent="0.25"/>
  <cols>
    <col min="1" max="1" width="10.140625" customWidth="1"/>
    <col min="2" max="2" width="10.42578125" bestFit="1" customWidth="1"/>
    <col min="3" max="3" width="12.42578125" bestFit="1" customWidth="1"/>
    <col min="4" max="4" width="13.42578125" bestFit="1" customWidth="1"/>
    <col min="5" max="5" width="9.28515625" customWidth="1"/>
    <col min="7" max="7" width="10.85546875" customWidth="1"/>
  </cols>
  <sheetData>
    <row r="1" spans="1:10" ht="15.75" thickBot="1" x14ac:dyDescent="0.3">
      <c r="A1" s="4" t="s">
        <v>0</v>
      </c>
      <c r="B1" s="5" t="s">
        <v>1</v>
      </c>
      <c r="C1" s="5" t="s">
        <v>320</v>
      </c>
      <c r="D1" s="5" t="s">
        <v>324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ht="30.75" thickBot="1" x14ac:dyDescent="0.3">
      <c r="A2" s="1" t="s">
        <v>8</v>
      </c>
      <c r="B2" s="2">
        <v>44952</v>
      </c>
      <c r="C2" s="2" t="str">
        <f xml:space="preserve"> TEXT(Table1[[#This Row],[Date]], "MMM")</f>
        <v>Jan</v>
      </c>
      <c r="D2" s="2" t="str">
        <f>TEXT(Table1[[#This Row],[Date]], "YYYY")</f>
        <v>2023</v>
      </c>
      <c r="E2" s="1" t="s">
        <v>9</v>
      </c>
      <c r="F2" s="1" t="s">
        <v>10</v>
      </c>
      <c r="G2" s="1" t="s">
        <v>11</v>
      </c>
      <c r="H2" s="3">
        <v>1219.5</v>
      </c>
      <c r="I2" s="3">
        <v>5</v>
      </c>
      <c r="J2" s="3">
        <v>211.02</v>
      </c>
    </row>
    <row r="3" spans="1:10" ht="30.75" thickBot="1" x14ac:dyDescent="0.3">
      <c r="A3" s="1" t="s">
        <v>12</v>
      </c>
      <c r="B3" s="2">
        <v>45531</v>
      </c>
      <c r="C3" s="2" t="str">
        <f xml:space="preserve"> TEXT(Table1[[#This Row],[Date]], "MMM")</f>
        <v>Aug</v>
      </c>
      <c r="D3" s="2" t="str">
        <f>TEXT(Table1[[#This Row],[Date]], "YYYY")</f>
        <v>2024</v>
      </c>
      <c r="E3" s="1" t="s">
        <v>13</v>
      </c>
      <c r="F3" s="1" t="s">
        <v>10</v>
      </c>
      <c r="G3" s="1" t="s">
        <v>11</v>
      </c>
      <c r="H3" s="3">
        <v>356.63</v>
      </c>
      <c r="I3" s="3">
        <v>7</v>
      </c>
      <c r="J3" s="3">
        <v>44.79</v>
      </c>
    </row>
    <row r="4" spans="1:10" ht="30.75" thickBot="1" x14ac:dyDescent="0.3">
      <c r="A4" s="1" t="s">
        <v>14</v>
      </c>
      <c r="B4" s="2">
        <v>45501</v>
      </c>
      <c r="C4" s="2" t="str">
        <f xml:space="preserve"> TEXT(Table1[[#This Row],[Date]], "MMM")</f>
        <v>Jul</v>
      </c>
      <c r="D4" s="2" t="str">
        <f>TEXT(Table1[[#This Row],[Date]], "YYYY")</f>
        <v>2024</v>
      </c>
      <c r="E4" s="1" t="s">
        <v>15</v>
      </c>
      <c r="F4" s="1" t="s">
        <v>16</v>
      </c>
      <c r="G4" s="1" t="s">
        <v>11</v>
      </c>
      <c r="H4" s="3">
        <v>3194.55</v>
      </c>
      <c r="I4" s="3">
        <v>4</v>
      </c>
      <c r="J4" s="3">
        <v>578.5</v>
      </c>
    </row>
    <row r="5" spans="1:10" ht="30.75" thickBot="1" x14ac:dyDescent="0.3">
      <c r="A5" s="1" t="s">
        <v>17</v>
      </c>
      <c r="B5" s="2">
        <v>45386</v>
      </c>
      <c r="C5" s="2" t="str">
        <f xml:space="preserve"> TEXT(Table1[[#This Row],[Date]], "MMM")</f>
        <v>Apr</v>
      </c>
      <c r="D5" s="2" t="str">
        <f>TEXT(Table1[[#This Row],[Date]], "YYYY")</f>
        <v>2024</v>
      </c>
      <c r="E5" s="1" t="s">
        <v>18</v>
      </c>
      <c r="F5" s="1" t="s">
        <v>10</v>
      </c>
      <c r="G5" s="1" t="s">
        <v>19</v>
      </c>
      <c r="H5" s="3">
        <v>3430.95</v>
      </c>
      <c r="I5" s="3">
        <v>10</v>
      </c>
      <c r="J5" s="3">
        <v>236.99</v>
      </c>
    </row>
    <row r="6" spans="1:10" ht="30.75" thickBot="1" x14ac:dyDescent="0.3">
      <c r="A6" s="1" t="s">
        <v>20</v>
      </c>
      <c r="B6" s="2">
        <v>45275</v>
      </c>
      <c r="C6" s="2" t="str">
        <f xml:space="preserve"> TEXT(Table1[[#This Row],[Date]], "MMM")</f>
        <v>Dec</v>
      </c>
      <c r="D6" s="2" t="str">
        <f>TEXT(Table1[[#This Row],[Date]], "YYYY")</f>
        <v>2023</v>
      </c>
      <c r="E6" s="1" t="s">
        <v>15</v>
      </c>
      <c r="F6" s="1" t="s">
        <v>16</v>
      </c>
      <c r="G6" s="1" t="s">
        <v>21</v>
      </c>
      <c r="H6" s="3">
        <v>1047.44</v>
      </c>
      <c r="I6" s="3">
        <v>5</v>
      </c>
      <c r="J6" s="3">
        <v>141.27000000000001</v>
      </c>
    </row>
    <row r="7" spans="1:10" ht="30.75" thickBot="1" x14ac:dyDescent="0.3">
      <c r="A7" s="1" t="s">
        <v>22</v>
      </c>
      <c r="B7" s="2">
        <v>45021</v>
      </c>
      <c r="C7" s="2" t="str">
        <f xml:space="preserve"> TEXT(Table1[[#This Row],[Date]], "MMM")</f>
        <v>Apr</v>
      </c>
      <c r="D7" s="2" t="str">
        <f>TEXT(Table1[[#This Row],[Date]], "YYYY")</f>
        <v>2023</v>
      </c>
      <c r="E7" s="1" t="s">
        <v>23</v>
      </c>
      <c r="F7" s="1" t="s">
        <v>16</v>
      </c>
      <c r="G7" s="1" t="s">
        <v>11</v>
      </c>
      <c r="H7" s="3">
        <v>961.37</v>
      </c>
      <c r="I7" s="3">
        <v>7</v>
      </c>
      <c r="J7" s="3">
        <v>95.44</v>
      </c>
    </row>
    <row r="8" spans="1:10" ht="30.75" thickBot="1" x14ac:dyDescent="0.3">
      <c r="A8" s="1" t="s">
        <v>24</v>
      </c>
      <c r="B8" s="2">
        <v>44971</v>
      </c>
      <c r="C8" s="2" t="str">
        <f xml:space="preserve"> TEXT(Table1[[#This Row],[Date]], "MMM")</f>
        <v>Feb</v>
      </c>
      <c r="D8" s="2" t="str">
        <f>TEXT(Table1[[#This Row],[Date]], "YYYY")</f>
        <v>2023</v>
      </c>
      <c r="E8" s="1" t="s">
        <v>25</v>
      </c>
      <c r="F8" s="1" t="s">
        <v>16</v>
      </c>
      <c r="G8" s="1" t="s">
        <v>26</v>
      </c>
      <c r="H8" s="3">
        <v>5221.42</v>
      </c>
      <c r="I8" s="3">
        <v>8</v>
      </c>
      <c r="J8" s="3">
        <v>438.26</v>
      </c>
    </row>
    <row r="9" spans="1:10" ht="30.75" thickBot="1" x14ac:dyDescent="0.3">
      <c r="A9" s="1" t="s">
        <v>27</v>
      </c>
      <c r="B9" s="2">
        <v>45492</v>
      </c>
      <c r="C9" s="2" t="str">
        <f xml:space="preserve"> TEXT(Table1[[#This Row],[Date]], "MMM")</f>
        <v>Jul</v>
      </c>
      <c r="D9" s="2" t="str">
        <f>TEXT(Table1[[#This Row],[Date]], "YYYY")</f>
        <v>2024</v>
      </c>
      <c r="E9" s="1" t="s">
        <v>18</v>
      </c>
      <c r="F9" s="1" t="s">
        <v>10</v>
      </c>
      <c r="G9" s="1" t="s">
        <v>11</v>
      </c>
      <c r="H9" s="3">
        <v>4493.2</v>
      </c>
      <c r="I9" s="3">
        <v>5</v>
      </c>
      <c r="J9" s="3">
        <v>666.94</v>
      </c>
    </row>
    <row r="10" spans="1:10" ht="30.75" thickBot="1" x14ac:dyDescent="0.3">
      <c r="A10" s="1" t="s">
        <v>28</v>
      </c>
      <c r="B10" s="2">
        <v>45648</v>
      </c>
      <c r="C10" s="2" t="str">
        <f xml:space="preserve"> TEXT(Table1[[#This Row],[Date]], "MMM")</f>
        <v>Dec</v>
      </c>
      <c r="D10" s="2" t="str">
        <f>TEXT(Table1[[#This Row],[Date]], "YYYY")</f>
        <v>2024</v>
      </c>
      <c r="E10" s="1" t="s">
        <v>23</v>
      </c>
      <c r="F10" s="1" t="s">
        <v>16</v>
      </c>
      <c r="G10" s="1" t="s">
        <v>19</v>
      </c>
      <c r="H10" s="3">
        <v>132.79</v>
      </c>
      <c r="I10" s="3">
        <v>2</v>
      </c>
      <c r="J10" s="3">
        <v>55.74</v>
      </c>
    </row>
    <row r="11" spans="1:10" ht="30.75" thickBot="1" x14ac:dyDescent="0.3">
      <c r="A11" s="1" t="s">
        <v>29</v>
      </c>
      <c r="B11" s="2">
        <v>45165</v>
      </c>
      <c r="C11" s="2" t="str">
        <f xml:space="preserve"> TEXT(Table1[[#This Row],[Date]], "MMM")</f>
        <v>Aug</v>
      </c>
      <c r="D11" s="2" t="str">
        <f>TEXT(Table1[[#This Row],[Date]], "YYYY")</f>
        <v>2023</v>
      </c>
      <c r="E11" s="1" t="s">
        <v>23</v>
      </c>
      <c r="F11" s="1" t="s">
        <v>16</v>
      </c>
      <c r="G11" s="1" t="s">
        <v>11</v>
      </c>
      <c r="H11" s="3">
        <v>811.1</v>
      </c>
      <c r="I11" s="3">
        <v>2</v>
      </c>
      <c r="J11" s="3">
        <v>316.5</v>
      </c>
    </row>
    <row r="12" spans="1:10" ht="30.75" thickBot="1" x14ac:dyDescent="0.3">
      <c r="A12" s="1" t="s">
        <v>30</v>
      </c>
      <c r="B12" s="2">
        <v>45306</v>
      </c>
      <c r="C12" s="2" t="str">
        <f xml:space="preserve"> TEXT(Table1[[#This Row],[Date]], "MMM")</f>
        <v>Jan</v>
      </c>
      <c r="D12" s="2" t="str">
        <f>TEXT(Table1[[#This Row],[Date]], "YYYY")</f>
        <v>2024</v>
      </c>
      <c r="E12" s="1" t="s">
        <v>23</v>
      </c>
      <c r="F12" s="1" t="s">
        <v>16</v>
      </c>
      <c r="G12" s="1" t="s">
        <v>19</v>
      </c>
      <c r="H12" s="3">
        <v>1328.1</v>
      </c>
      <c r="I12" s="3">
        <v>6</v>
      </c>
      <c r="J12" s="3">
        <v>183.42</v>
      </c>
    </row>
    <row r="13" spans="1:10" ht="30.75" thickBot="1" x14ac:dyDescent="0.3">
      <c r="A13" s="1" t="s">
        <v>31</v>
      </c>
      <c r="B13" s="2">
        <v>45550</v>
      </c>
      <c r="C13" s="2" t="str">
        <f xml:space="preserve"> TEXT(Table1[[#This Row],[Date]], "MMM")</f>
        <v>Sep</v>
      </c>
      <c r="D13" s="2" t="str">
        <f>TEXT(Table1[[#This Row],[Date]], "YYYY")</f>
        <v>2024</v>
      </c>
      <c r="E13" s="1" t="s">
        <v>9</v>
      </c>
      <c r="F13" s="1" t="s">
        <v>10</v>
      </c>
      <c r="G13" s="1" t="s">
        <v>11</v>
      </c>
      <c r="H13" s="3">
        <v>1569.15</v>
      </c>
      <c r="I13" s="3">
        <v>3</v>
      </c>
      <c r="J13" s="3">
        <v>436.63</v>
      </c>
    </row>
    <row r="14" spans="1:10" ht="30.75" thickBot="1" x14ac:dyDescent="0.3">
      <c r="A14" s="1" t="s">
        <v>32</v>
      </c>
      <c r="B14" s="2">
        <v>45203</v>
      </c>
      <c r="C14" s="2" t="str">
        <f xml:space="preserve"> TEXT(Table1[[#This Row],[Date]], "MMM")</f>
        <v>Oct</v>
      </c>
      <c r="D14" s="2" t="str">
        <f>TEXT(Table1[[#This Row],[Date]], "YYYY")</f>
        <v>2023</v>
      </c>
      <c r="E14" s="1" t="s">
        <v>18</v>
      </c>
      <c r="F14" s="1" t="s">
        <v>10</v>
      </c>
      <c r="G14" s="1" t="s">
        <v>21</v>
      </c>
      <c r="H14" s="3">
        <v>2117.1999999999998</v>
      </c>
      <c r="I14" s="3">
        <v>9</v>
      </c>
      <c r="J14" s="3">
        <v>191.3</v>
      </c>
    </row>
    <row r="15" spans="1:10" ht="30.75" thickBot="1" x14ac:dyDescent="0.3">
      <c r="A15" s="1" t="s">
        <v>33</v>
      </c>
      <c r="B15" s="2">
        <v>44959</v>
      </c>
      <c r="C15" s="2" t="str">
        <f xml:space="preserve"> TEXT(Table1[[#This Row],[Date]], "MMM")</f>
        <v>Feb</v>
      </c>
      <c r="D15" s="2" t="str">
        <f>TEXT(Table1[[#This Row],[Date]], "YYYY")</f>
        <v>2023</v>
      </c>
      <c r="E15" s="1" t="s">
        <v>13</v>
      </c>
      <c r="F15" s="1" t="s">
        <v>10</v>
      </c>
      <c r="G15" s="1" t="s">
        <v>19</v>
      </c>
      <c r="H15" s="3">
        <v>2250.09</v>
      </c>
      <c r="I15" s="3">
        <v>6</v>
      </c>
      <c r="J15" s="3">
        <v>332.91</v>
      </c>
    </row>
    <row r="16" spans="1:10" ht="30.75" thickBot="1" x14ac:dyDescent="0.3">
      <c r="A16" s="1" t="s">
        <v>34</v>
      </c>
      <c r="B16" s="2">
        <v>45144</v>
      </c>
      <c r="C16" s="2" t="str">
        <f xml:space="preserve"> TEXT(Table1[[#This Row],[Date]], "MMM")</f>
        <v>Aug</v>
      </c>
      <c r="D16" s="2" t="str">
        <f>TEXT(Table1[[#This Row],[Date]], "YYYY")</f>
        <v>2023</v>
      </c>
      <c r="E16" s="1" t="s">
        <v>25</v>
      </c>
      <c r="F16" s="1" t="s">
        <v>16</v>
      </c>
      <c r="G16" s="1" t="s">
        <v>26</v>
      </c>
      <c r="H16" s="3">
        <v>3853.23</v>
      </c>
      <c r="I16" s="3">
        <v>8</v>
      </c>
      <c r="J16" s="3">
        <v>328.59</v>
      </c>
    </row>
    <row r="17" spans="1:10" ht="30.75" thickBot="1" x14ac:dyDescent="0.3">
      <c r="A17" s="1" t="s">
        <v>35</v>
      </c>
      <c r="B17" s="2">
        <v>45198</v>
      </c>
      <c r="C17" s="2" t="str">
        <f xml:space="preserve"> TEXT(Table1[[#This Row],[Date]], "MMM")</f>
        <v>Sep</v>
      </c>
      <c r="D17" s="2" t="str">
        <f>TEXT(Table1[[#This Row],[Date]], "YYYY")</f>
        <v>2023</v>
      </c>
      <c r="E17" s="1" t="s">
        <v>18</v>
      </c>
      <c r="F17" s="1" t="s">
        <v>10</v>
      </c>
      <c r="G17" s="1" t="s">
        <v>19</v>
      </c>
      <c r="H17" s="3">
        <v>843.88</v>
      </c>
      <c r="I17" s="3">
        <v>3</v>
      </c>
      <c r="J17" s="3">
        <v>212.37</v>
      </c>
    </row>
    <row r="18" spans="1:10" ht="30.75" thickBot="1" x14ac:dyDescent="0.3">
      <c r="A18" s="1" t="s">
        <v>36</v>
      </c>
      <c r="B18" s="2">
        <v>45524</v>
      </c>
      <c r="C18" s="2" t="str">
        <f xml:space="preserve"> TEXT(Table1[[#This Row],[Date]], "MMM")</f>
        <v>Aug</v>
      </c>
      <c r="D18" s="2" t="str">
        <f>TEXT(Table1[[#This Row],[Date]], "YYYY")</f>
        <v>2024</v>
      </c>
      <c r="E18" s="1" t="s">
        <v>23</v>
      </c>
      <c r="F18" s="1" t="s">
        <v>16</v>
      </c>
      <c r="G18" s="1" t="s">
        <v>21</v>
      </c>
      <c r="H18" s="3">
        <v>3172.52</v>
      </c>
      <c r="I18" s="3">
        <v>7</v>
      </c>
      <c r="J18" s="3">
        <v>302.36</v>
      </c>
    </row>
    <row r="19" spans="1:10" ht="30.75" thickBot="1" x14ac:dyDescent="0.3">
      <c r="A19" s="1" t="s">
        <v>37</v>
      </c>
      <c r="B19" s="2">
        <v>45020</v>
      </c>
      <c r="C19" s="2" t="str">
        <f xml:space="preserve"> TEXT(Table1[[#This Row],[Date]], "MMM")</f>
        <v>Apr</v>
      </c>
      <c r="D19" s="2" t="str">
        <f>TEXT(Table1[[#This Row],[Date]], "YYYY")</f>
        <v>2023</v>
      </c>
      <c r="E19" s="1" t="s">
        <v>15</v>
      </c>
      <c r="F19" s="1" t="s">
        <v>16</v>
      </c>
      <c r="G19" s="1" t="s">
        <v>21</v>
      </c>
      <c r="H19" s="3">
        <v>803.11</v>
      </c>
      <c r="I19" s="3">
        <v>1</v>
      </c>
      <c r="J19" s="3">
        <v>691.66</v>
      </c>
    </row>
    <row r="20" spans="1:10" ht="30.75" thickBot="1" x14ac:dyDescent="0.3">
      <c r="A20" s="1" t="s">
        <v>38</v>
      </c>
      <c r="B20" s="2">
        <v>45537</v>
      </c>
      <c r="C20" s="2" t="str">
        <f xml:space="preserve"> TEXT(Table1[[#This Row],[Date]], "MMM")</f>
        <v>Sep</v>
      </c>
      <c r="D20" s="2" t="str">
        <f>TEXT(Table1[[#This Row],[Date]], "YYYY")</f>
        <v>2024</v>
      </c>
      <c r="E20" s="1" t="s">
        <v>15</v>
      </c>
      <c r="F20" s="1" t="s">
        <v>16</v>
      </c>
      <c r="G20" s="1" t="s">
        <v>21</v>
      </c>
      <c r="H20" s="3">
        <v>856.87</v>
      </c>
      <c r="I20" s="3">
        <v>2</v>
      </c>
      <c r="J20" s="3">
        <v>320.12</v>
      </c>
    </row>
    <row r="21" spans="1:10" ht="30.75" thickBot="1" x14ac:dyDescent="0.3">
      <c r="A21" s="1" t="s">
        <v>39</v>
      </c>
      <c r="B21" s="2">
        <v>45493</v>
      </c>
      <c r="C21" s="2" t="str">
        <f xml:space="preserve"> TEXT(Table1[[#This Row],[Date]], "MMM")</f>
        <v>Jul</v>
      </c>
      <c r="D21" s="2" t="str">
        <f>TEXT(Table1[[#This Row],[Date]], "YYYY")</f>
        <v>2024</v>
      </c>
      <c r="E21" s="1" t="s">
        <v>18</v>
      </c>
      <c r="F21" s="1" t="s">
        <v>10</v>
      </c>
      <c r="G21" s="1" t="s">
        <v>26</v>
      </c>
      <c r="H21" s="3">
        <v>630.91</v>
      </c>
      <c r="I21" s="3">
        <v>1</v>
      </c>
      <c r="J21" s="3">
        <v>550.62</v>
      </c>
    </row>
    <row r="22" spans="1:10" ht="30.75" thickBot="1" x14ac:dyDescent="0.3">
      <c r="A22" s="1" t="s">
        <v>40</v>
      </c>
      <c r="B22" s="2">
        <v>45583</v>
      </c>
      <c r="C22" s="2" t="str">
        <f xml:space="preserve"> TEXT(Table1[[#This Row],[Date]], "MMM")</f>
        <v>Oct</v>
      </c>
      <c r="D22" s="2" t="str">
        <f>TEXT(Table1[[#This Row],[Date]], "YYYY")</f>
        <v>2024</v>
      </c>
      <c r="E22" s="1" t="s">
        <v>25</v>
      </c>
      <c r="F22" s="1" t="s">
        <v>16</v>
      </c>
      <c r="G22" s="1" t="s">
        <v>26</v>
      </c>
      <c r="H22" s="3">
        <v>817.92</v>
      </c>
      <c r="I22" s="3">
        <v>6</v>
      </c>
      <c r="J22" s="3">
        <v>107.01</v>
      </c>
    </row>
    <row r="23" spans="1:10" ht="30.75" thickBot="1" x14ac:dyDescent="0.3">
      <c r="A23" s="1" t="s">
        <v>41</v>
      </c>
      <c r="B23" s="2">
        <v>45196</v>
      </c>
      <c r="C23" s="2" t="str">
        <f xml:space="preserve"> TEXT(Table1[[#This Row],[Date]], "MMM")</f>
        <v>Sep</v>
      </c>
      <c r="D23" s="2" t="str">
        <f>TEXT(Table1[[#This Row],[Date]], "YYYY")</f>
        <v>2023</v>
      </c>
      <c r="E23" s="1" t="s">
        <v>18</v>
      </c>
      <c r="F23" s="1" t="s">
        <v>10</v>
      </c>
      <c r="G23" s="1" t="s">
        <v>11</v>
      </c>
      <c r="H23" s="3">
        <v>7204.65</v>
      </c>
      <c r="I23" s="3">
        <v>9</v>
      </c>
      <c r="J23" s="3">
        <v>614.33000000000004</v>
      </c>
    </row>
    <row r="24" spans="1:10" ht="30.75" thickBot="1" x14ac:dyDescent="0.3">
      <c r="A24" s="1" t="s">
        <v>42</v>
      </c>
      <c r="B24" s="2">
        <v>45581</v>
      </c>
      <c r="C24" s="2" t="str">
        <f xml:space="preserve"> TEXT(Table1[[#This Row],[Date]], "MMM")</f>
        <v>Oct</v>
      </c>
      <c r="D24" s="2" t="str">
        <f>TEXT(Table1[[#This Row],[Date]], "YYYY")</f>
        <v>2024</v>
      </c>
      <c r="E24" s="1" t="s">
        <v>13</v>
      </c>
      <c r="F24" s="1" t="s">
        <v>10</v>
      </c>
      <c r="G24" s="1" t="s">
        <v>26</v>
      </c>
      <c r="H24" s="3">
        <v>5172.8599999999997</v>
      </c>
      <c r="I24" s="3">
        <v>9</v>
      </c>
      <c r="J24" s="3">
        <v>495</v>
      </c>
    </row>
    <row r="25" spans="1:10" ht="30.75" thickBot="1" x14ac:dyDescent="0.3">
      <c r="A25" s="1" t="s">
        <v>43</v>
      </c>
      <c r="B25" s="2">
        <v>45540</v>
      </c>
      <c r="C25" s="2" t="str">
        <f xml:space="preserve"> TEXT(Table1[[#This Row],[Date]], "MMM")</f>
        <v>Sep</v>
      </c>
      <c r="D25" s="2" t="str">
        <f>TEXT(Table1[[#This Row],[Date]], "YYYY")</f>
        <v>2024</v>
      </c>
      <c r="E25" s="1" t="s">
        <v>15</v>
      </c>
      <c r="F25" s="1" t="s">
        <v>16</v>
      </c>
      <c r="G25" s="1" t="s">
        <v>11</v>
      </c>
      <c r="H25" s="3">
        <v>2755.02</v>
      </c>
      <c r="I25" s="3">
        <v>6</v>
      </c>
      <c r="J25" s="3">
        <v>401.11</v>
      </c>
    </row>
    <row r="26" spans="1:10" ht="30.75" thickBot="1" x14ac:dyDescent="0.3">
      <c r="A26" s="1" t="s">
        <v>44</v>
      </c>
      <c r="B26" s="2">
        <v>45172</v>
      </c>
      <c r="C26" s="2" t="str">
        <f xml:space="preserve"> TEXT(Table1[[#This Row],[Date]], "MMM")</f>
        <v>Sep</v>
      </c>
      <c r="D26" s="2" t="str">
        <f>TEXT(Table1[[#This Row],[Date]], "YYYY")</f>
        <v>2023</v>
      </c>
      <c r="E26" s="1" t="s">
        <v>23</v>
      </c>
      <c r="F26" s="1" t="s">
        <v>16</v>
      </c>
      <c r="G26" s="1" t="s">
        <v>26</v>
      </c>
      <c r="H26" s="3">
        <v>275.83999999999997</v>
      </c>
      <c r="I26" s="3">
        <v>1</v>
      </c>
      <c r="J26" s="3">
        <v>207.88</v>
      </c>
    </row>
    <row r="27" spans="1:10" ht="30.75" thickBot="1" x14ac:dyDescent="0.3">
      <c r="A27" s="1" t="s">
        <v>45</v>
      </c>
      <c r="B27" s="2">
        <v>45424</v>
      </c>
      <c r="C27" s="2" t="str">
        <f xml:space="preserve"> TEXT(Table1[[#This Row],[Date]], "MMM")</f>
        <v>May</v>
      </c>
      <c r="D27" s="2" t="str">
        <f>TEXT(Table1[[#This Row],[Date]], "YYYY")</f>
        <v>2024</v>
      </c>
      <c r="E27" s="1" t="s">
        <v>13</v>
      </c>
      <c r="F27" s="1" t="s">
        <v>10</v>
      </c>
      <c r="G27" s="1" t="s">
        <v>11</v>
      </c>
      <c r="H27" s="3">
        <v>2055.84</v>
      </c>
      <c r="I27" s="3">
        <v>2</v>
      </c>
      <c r="J27" s="3">
        <v>782.83</v>
      </c>
    </row>
    <row r="28" spans="1:10" ht="30.75" thickBot="1" x14ac:dyDescent="0.3">
      <c r="A28" s="1" t="s">
        <v>46</v>
      </c>
      <c r="B28" s="2">
        <v>45602</v>
      </c>
      <c r="C28" s="2" t="str">
        <f xml:space="preserve"> TEXT(Table1[[#This Row],[Date]], "MMM")</f>
        <v>Nov</v>
      </c>
      <c r="D28" s="2" t="str">
        <f>TEXT(Table1[[#This Row],[Date]], "YYYY")</f>
        <v>2024</v>
      </c>
      <c r="E28" s="1" t="s">
        <v>15</v>
      </c>
      <c r="F28" s="1" t="s">
        <v>16</v>
      </c>
      <c r="G28" s="1" t="s">
        <v>19</v>
      </c>
      <c r="H28" s="3">
        <v>7075.97</v>
      </c>
      <c r="I28" s="3">
        <v>8</v>
      </c>
      <c r="J28" s="3">
        <v>758.54</v>
      </c>
    </row>
    <row r="29" spans="1:10" ht="30.75" thickBot="1" x14ac:dyDescent="0.3">
      <c r="A29" s="1" t="s">
        <v>47</v>
      </c>
      <c r="B29" s="2">
        <v>45143</v>
      </c>
      <c r="C29" s="2" t="str">
        <f xml:space="preserve"> TEXT(Table1[[#This Row],[Date]], "MMM")</f>
        <v>Aug</v>
      </c>
      <c r="D29" s="2" t="str">
        <f>TEXT(Table1[[#This Row],[Date]], "YYYY")</f>
        <v>2023</v>
      </c>
      <c r="E29" s="1" t="s">
        <v>25</v>
      </c>
      <c r="F29" s="1" t="s">
        <v>16</v>
      </c>
      <c r="G29" s="1" t="s">
        <v>21</v>
      </c>
      <c r="H29" s="3">
        <v>7542.93</v>
      </c>
      <c r="I29" s="3">
        <v>9</v>
      </c>
      <c r="J29" s="3">
        <v>609.11</v>
      </c>
    </row>
    <row r="30" spans="1:10" ht="30.75" thickBot="1" x14ac:dyDescent="0.3">
      <c r="A30" s="1" t="s">
        <v>48</v>
      </c>
      <c r="B30" s="2">
        <v>45335</v>
      </c>
      <c r="C30" s="2" t="str">
        <f xml:space="preserve"> TEXT(Table1[[#This Row],[Date]], "MMM")</f>
        <v>Feb</v>
      </c>
      <c r="D30" s="2" t="str">
        <f>TEXT(Table1[[#This Row],[Date]], "YYYY")</f>
        <v>2024</v>
      </c>
      <c r="E30" s="1" t="s">
        <v>9</v>
      </c>
      <c r="F30" s="1" t="s">
        <v>10</v>
      </c>
      <c r="G30" s="1" t="s">
        <v>26</v>
      </c>
      <c r="H30" s="3">
        <v>2836.67</v>
      </c>
      <c r="I30" s="3">
        <v>6</v>
      </c>
      <c r="J30" s="3">
        <v>361.72</v>
      </c>
    </row>
    <row r="31" spans="1:10" ht="30.75" thickBot="1" x14ac:dyDescent="0.3">
      <c r="A31" s="1" t="s">
        <v>49</v>
      </c>
      <c r="B31" s="2">
        <v>45157</v>
      </c>
      <c r="C31" s="2" t="str">
        <f xml:space="preserve"> TEXT(Table1[[#This Row],[Date]], "MMM")</f>
        <v>Aug</v>
      </c>
      <c r="D31" s="2" t="str">
        <f>TEXT(Table1[[#This Row],[Date]], "YYYY")</f>
        <v>2023</v>
      </c>
      <c r="E31" s="1" t="s">
        <v>13</v>
      </c>
      <c r="F31" s="1" t="s">
        <v>10</v>
      </c>
      <c r="G31" s="1" t="s">
        <v>19</v>
      </c>
      <c r="H31" s="3">
        <v>757.69</v>
      </c>
      <c r="I31" s="3">
        <v>2</v>
      </c>
      <c r="J31" s="3">
        <v>283.70999999999998</v>
      </c>
    </row>
    <row r="32" spans="1:10" ht="30.75" thickBot="1" x14ac:dyDescent="0.3">
      <c r="A32" s="1" t="s">
        <v>50</v>
      </c>
      <c r="B32" s="2">
        <v>44934</v>
      </c>
      <c r="C32" s="2" t="str">
        <f xml:space="preserve"> TEXT(Table1[[#This Row],[Date]], "MMM")</f>
        <v>Jan</v>
      </c>
      <c r="D32" s="2" t="str">
        <f>TEXT(Table1[[#This Row],[Date]], "YYYY")</f>
        <v>2023</v>
      </c>
      <c r="E32" s="1" t="s">
        <v>15</v>
      </c>
      <c r="F32" s="1" t="s">
        <v>16</v>
      </c>
      <c r="G32" s="1" t="s">
        <v>19</v>
      </c>
      <c r="H32" s="3">
        <v>1285.6099999999999</v>
      </c>
      <c r="I32" s="3">
        <v>2</v>
      </c>
      <c r="J32" s="3">
        <v>572.12</v>
      </c>
    </row>
    <row r="33" spans="1:10" ht="30.75" thickBot="1" x14ac:dyDescent="0.3">
      <c r="A33" s="1" t="s">
        <v>51</v>
      </c>
      <c r="B33" s="2">
        <v>45265</v>
      </c>
      <c r="C33" s="2" t="str">
        <f xml:space="preserve"> TEXT(Table1[[#This Row],[Date]], "MMM")</f>
        <v>Dec</v>
      </c>
      <c r="D33" s="2" t="str">
        <f>TEXT(Table1[[#This Row],[Date]], "YYYY")</f>
        <v>2023</v>
      </c>
      <c r="E33" s="1" t="s">
        <v>13</v>
      </c>
      <c r="F33" s="1" t="s">
        <v>10</v>
      </c>
      <c r="G33" s="1" t="s">
        <v>11</v>
      </c>
      <c r="H33" s="3">
        <v>1020.09</v>
      </c>
      <c r="I33" s="3">
        <v>2</v>
      </c>
      <c r="J33" s="3">
        <v>421.04</v>
      </c>
    </row>
    <row r="34" spans="1:10" ht="30.75" thickBot="1" x14ac:dyDescent="0.3">
      <c r="A34" s="1" t="s">
        <v>52</v>
      </c>
      <c r="B34" s="2">
        <v>45479</v>
      </c>
      <c r="C34" s="2" t="str">
        <f xml:space="preserve"> TEXT(Table1[[#This Row],[Date]], "MMM")</f>
        <v>Jul</v>
      </c>
      <c r="D34" s="2" t="str">
        <f>TEXT(Table1[[#This Row],[Date]], "YYYY")</f>
        <v>2024</v>
      </c>
      <c r="E34" s="1" t="s">
        <v>18</v>
      </c>
      <c r="F34" s="1" t="s">
        <v>10</v>
      </c>
      <c r="G34" s="1" t="s">
        <v>19</v>
      </c>
      <c r="H34" s="3">
        <v>2546.5300000000002</v>
      </c>
      <c r="I34" s="3">
        <v>3</v>
      </c>
      <c r="J34" s="3">
        <v>584.22</v>
      </c>
    </row>
    <row r="35" spans="1:10" ht="30.75" thickBot="1" x14ac:dyDescent="0.3">
      <c r="A35" s="1" t="s">
        <v>53</v>
      </c>
      <c r="B35" s="2">
        <v>45175</v>
      </c>
      <c r="C35" s="2" t="str">
        <f xml:space="preserve"> TEXT(Table1[[#This Row],[Date]], "MMM")</f>
        <v>Sep</v>
      </c>
      <c r="D35" s="2" t="str">
        <f>TEXT(Table1[[#This Row],[Date]], "YYYY")</f>
        <v>2023</v>
      </c>
      <c r="E35" s="1" t="s">
        <v>25</v>
      </c>
      <c r="F35" s="1" t="s">
        <v>16</v>
      </c>
      <c r="G35" s="1" t="s">
        <v>21</v>
      </c>
      <c r="H35" s="3">
        <v>6114.64</v>
      </c>
      <c r="I35" s="3">
        <v>8</v>
      </c>
      <c r="J35" s="3">
        <v>649.85</v>
      </c>
    </row>
    <row r="36" spans="1:10" ht="30.75" thickBot="1" x14ac:dyDescent="0.3">
      <c r="A36" s="1" t="s">
        <v>54</v>
      </c>
      <c r="B36" s="2">
        <v>45289</v>
      </c>
      <c r="C36" s="2" t="str">
        <f xml:space="preserve"> TEXT(Table1[[#This Row],[Date]], "MMM")</f>
        <v>Dec</v>
      </c>
      <c r="D36" s="2" t="str">
        <f>TEXT(Table1[[#This Row],[Date]], "YYYY")</f>
        <v>2023</v>
      </c>
      <c r="E36" s="1" t="s">
        <v>13</v>
      </c>
      <c r="F36" s="1" t="s">
        <v>10</v>
      </c>
      <c r="G36" s="1" t="s">
        <v>21</v>
      </c>
      <c r="H36" s="3">
        <v>3447.05</v>
      </c>
      <c r="I36" s="3">
        <v>7</v>
      </c>
      <c r="J36" s="3">
        <v>340.66</v>
      </c>
    </row>
    <row r="37" spans="1:10" ht="30.75" thickBot="1" x14ac:dyDescent="0.3">
      <c r="A37" s="1" t="s">
        <v>55</v>
      </c>
      <c r="B37" s="2">
        <v>44989</v>
      </c>
      <c r="C37" s="2" t="str">
        <f xml:space="preserve"> TEXT(Table1[[#This Row],[Date]], "MMM")</f>
        <v>Mar</v>
      </c>
      <c r="D37" s="2" t="str">
        <f>TEXT(Table1[[#This Row],[Date]], "YYYY")</f>
        <v>2023</v>
      </c>
      <c r="E37" s="1" t="s">
        <v>13</v>
      </c>
      <c r="F37" s="1" t="s">
        <v>10</v>
      </c>
      <c r="G37" s="1" t="s">
        <v>11</v>
      </c>
      <c r="H37" s="3">
        <v>5845.79</v>
      </c>
      <c r="I37" s="3">
        <v>7</v>
      </c>
      <c r="J37" s="3">
        <v>588.01</v>
      </c>
    </row>
    <row r="38" spans="1:10" ht="30.75" thickBot="1" x14ac:dyDescent="0.3">
      <c r="A38" s="1" t="s">
        <v>56</v>
      </c>
      <c r="B38" s="2">
        <v>45123</v>
      </c>
      <c r="C38" s="2" t="str">
        <f xml:space="preserve"> TEXT(Table1[[#This Row],[Date]], "MMM")</f>
        <v>Jul</v>
      </c>
      <c r="D38" s="2" t="str">
        <f>TEXT(Table1[[#This Row],[Date]], "YYYY")</f>
        <v>2023</v>
      </c>
      <c r="E38" s="1" t="s">
        <v>13</v>
      </c>
      <c r="F38" s="1" t="s">
        <v>10</v>
      </c>
      <c r="G38" s="1" t="s">
        <v>19</v>
      </c>
      <c r="H38" s="3">
        <v>2026.83</v>
      </c>
      <c r="I38" s="3">
        <v>4</v>
      </c>
      <c r="J38" s="3">
        <v>438.3</v>
      </c>
    </row>
    <row r="39" spans="1:10" ht="30.75" thickBot="1" x14ac:dyDescent="0.3">
      <c r="A39" s="1" t="s">
        <v>57</v>
      </c>
      <c r="B39" s="2">
        <v>45400</v>
      </c>
      <c r="C39" s="2" t="str">
        <f xml:space="preserve"> TEXT(Table1[[#This Row],[Date]], "MMM")</f>
        <v>Apr</v>
      </c>
      <c r="D39" s="2" t="str">
        <f>TEXT(Table1[[#This Row],[Date]], "YYYY")</f>
        <v>2024</v>
      </c>
      <c r="E39" s="1" t="s">
        <v>15</v>
      </c>
      <c r="F39" s="1" t="s">
        <v>16</v>
      </c>
      <c r="G39" s="1" t="s">
        <v>26</v>
      </c>
      <c r="H39" s="3">
        <v>3173.92</v>
      </c>
      <c r="I39" s="3">
        <v>4</v>
      </c>
      <c r="J39" s="3">
        <v>702.1</v>
      </c>
    </row>
    <row r="40" spans="1:10" ht="30.75" thickBot="1" x14ac:dyDescent="0.3">
      <c r="A40" s="1" t="s">
        <v>58</v>
      </c>
      <c r="B40" s="2">
        <v>44978</v>
      </c>
      <c r="C40" s="2" t="str">
        <f xml:space="preserve"> TEXT(Table1[[#This Row],[Date]], "MMM")</f>
        <v>Feb</v>
      </c>
      <c r="D40" s="2" t="str">
        <f>TEXT(Table1[[#This Row],[Date]], "YYYY")</f>
        <v>2023</v>
      </c>
      <c r="E40" s="1" t="s">
        <v>25</v>
      </c>
      <c r="F40" s="1" t="s">
        <v>16</v>
      </c>
      <c r="G40" s="1" t="s">
        <v>11</v>
      </c>
      <c r="H40" s="3">
        <v>8998.33</v>
      </c>
      <c r="I40" s="3">
        <v>9</v>
      </c>
      <c r="J40" s="3">
        <v>672.1</v>
      </c>
    </row>
    <row r="41" spans="1:10" ht="30.75" thickBot="1" x14ac:dyDescent="0.3">
      <c r="A41" s="1" t="s">
        <v>59</v>
      </c>
      <c r="B41" s="2">
        <v>45343</v>
      </c>
      <c r="C41" s="2" t="str">
        <f xml:space="preserve"> TEXT(Table1[[#This Row],[Date]], "MMM")</f>
        <v>Feb</v>
      </c>
      <c r="D41" s="2" t="str">
        <f>TEXT(Table1[[#This Row],[Date]], "YYYY")</f>
        <v>2024</v>
      </c>
      <c r="E41" s="1" t="s">
        <v>15</v>
      </c>
      <c r="F41" s="1" t="s">
        <v>16</v>
      </c>
      <c r="G41" s="1" t="s">
        <v>19</v>
      </c>
      <c r="H41" s="3">
        <v>4574.24</v>
      </c>
      <c r="I41" s="3">
        <v>8</v>
      </c>
      <c r="J41" s="3">
        <v>395.46</v>
      </c>
    </row>
    <row r="42" spans="1:10" ht="30.75" thickBot="1" x14ac:dyDescent="0.3">
      <c r="A42" s="1" t="s">
        <v>60</v>
      </c>
      <c r="B42" s="2">
        <v>45315</v>
      </c>
      <c r="C42" s="2" t="str">
        <f xml:space="preserve"> TEXT(Table1[[#This Row],[Date]], "MMM")</f>
        <v>Jan</v>
      </c>
      <c r="D42" s="2" t="str">
        <f>TEXT(Table1[[#This Row],[Date]], "YYYY")</f>
        <v>2024</v>
      </c>
      <c r="E42" s="1" t="s">
        <v>13</v>
      </c>
      <c r="F42" s="1" t="s">
        <v>10</v>
      </c>
      <c r="G42" s="1" t="s">
        <v>19</v>
      </c>
      <c r="H42" s="3">
        <v>951.04</v>
      </c>
      <c r="I42" s="3">
        <v>1</v>
      </c>
      <c r="J42" s="3">
        <v>788.54</v>
      </c>
    </row>
    <row r="43" spans="1:10" ht="30.75" thickBot="1" x14ac:dyDescent="0.3">
      <c r="A43" s="1" t="s">
        <v>61</v>
      </c>
      <c r="B43" s="2">
        <v>45360</v>
      </c>
      <c r="C43" s="2" t="str">
        <f xml:space="preserve"> TEXT(Table1[[#This Row],[Date]], "MMM")</f>
        <v>Mar</v>
      </c>
      <c r="D43" s="2" t="str">
        <f>TEXT(Table1[[#This Row],[Date]], "YYYY")</f>
        <v>2024</v>
      </c>
      <c r="E43" s="1" t="s">
        <v>18</v>
      </c>
      <c r="F43" s="1" t="s">
        <v>10</v>
      </c>
      <c r="G43" s="1" t="s">
        <v>26</v>
      </c>
      <c r="H43" s="3">
        <v>6248.51</v>
      </c>
      <c r="I43" s="3">
        <v>9</v>
      </c>
      <c r="J43" s="3">
        <v>536.26</v>
      </c>
    </row>
    <row r="44" spans="1:10" ht="30.75" thickBot="1" x14ac:dyDescent="0.3">
      <c r="A44" s="1" t="s">
        <v>62</v>
      </c>
      <c r="B44" s="2">
        <v>45149</v>
      </c>
      <c r="C44" s="2" t="str">
        <f xml:space="preserve"> TEXT(Table1[[#This Row],[Date]], "MMM")</f>
        <v>Aug</v>
      </c>
      <c r="D44" s="2" t="str">
        <f>TEXT(Table1[[#This Row],[Date]], "YYYY")</f>
        <v>2023</v>
      </c>
      <c r="E44" s="1" t="s">
        <v>15</v>
      </c>
      <c r="F44" s="1" t="s">
        <v>16</v>
      </c>
      <c r="G44" s="1" t="s">
        <v>26</v>
      </c>
      <c r="H44" s="3">
        <v>621.25</v>
      </c>
      <c r="I44" s="3">
        <v>1</v>
      </c>
      <c r="J44" s="3">
        <v>471.76</v>
      </c>
    </row>
    <row r="45" spans="1:10" ht="30.75" thickBot="1" x14ac:dyDescent="0.3">
      <c r="A45" s="1" t="s">
        <v>63</v>
      </c>
      <c r="B45" s="2">
        <v>44985</v>
      </c>
      <c r="C45" s="2" t="str">
        <f xml:space="preserve"> TEXT(Table1[[#This Row],[Date]], "MMM")</f>
        <v>Feb</v>
      </c>
      <c r="D45" s="2" t="str">
        <f>TEXT(Table1[[#This Row],[Date]], "YYYY")</f>
        <v>2023</v>
      </c>
      <c r="E45" s="1" t="s">
        <v>9</v>
      </c>
      <c r="F45" s="1" t="s">
        <v>10</v>
      </c>
      <c r="G45" s="1" t="s">
        <v>26</v>
      </c>
      <c r="H45" s="3">
        <v>618.9</v>
      </c>
      <c r="I45" s="3">
        <v>1</v>
      </c>
      <c r="J45" s="3">
        <v>475.66</v>
      </c>
    </row>
    <row r="46" spans="1:10" ht="30.75" thickBot="1" x14ac:dyDescent="0.3">
      <c r="A46" s="1" t="s">
        <v>64</v>
      </c>
      <c r="B46" s="2">
        <v>44985</v>
      </c>
      <c r="C46" s="2" t="str">
        <f xml:space="preserve"> TEXT(Table1[[#This Row],[Date]], "MMM")</f>
        <v>Feb</v>
      </c>
      <c r="D46" s="2" t="str">
        <f>TEXT(Table1[[#This Row],[Date]], "YYYY")</f>
        <v>2023</v>
      </c>
      <c r="E46" s="1" t="s">
        <v>25</v>
      </c>
      <c r="F46" s="1" t="s">
        <v>16</v>
      </c>
      <c r="G46" s="1" t="s">
        <v>19</v>
      </c>
      <c r="H46" s="3">
        <v>871.83</v>
      </c>
      <c r="I46" s="3">
        <v>9</v>
      </c>
      <c r="J46" s="3">
        <v>82.49</v>
      </c>
    </row>
    <row r="47" spans="1:10" ht="30.75" thickBot="1" x14ac:dyDescent="0.3">
      <c r="A47" s="1" t="s">
        <v>65</v>
      </c>
      <c r="B47" s="2">
        <v>45618</v>
      </c>
      <c r="C47" s="2" t="str">
        <f xml:space="preserve"> TEXT(Table1[[#This Row],[Date]], "MMM")</f>
        <v>Nov</v>
      </c>
      <c r="D47" s="2" t="str">
        <f>TEXT(Table1[[#This Row],[Date]], "YYYY")</f>
        <v>2024</v>
      </c>
      <c r="E47" s="1" t="s">
        <v>25</v>
      </c>
      <c r="F47" s="1" t="s">
        <v>16</v>
      </c>
      <c r="G47" s="1" t="s">
        <v>11</v>
      </c>
      <c r="H47" s="3">
        <v>1978.34</v>
      </c>
      <c r="I47" s="3">
        <v>4</v>
      </c>
      <c r="J47" s="3">
        <v>334.94</v>
      </c>
    </row>
    <row r="48" spans="1:10" ht="30.75" thickBot="1" x14ac:dyDescent="0.3">
      <c r="A48" s="1" t="s">
        <v>66</v>
      </c>
      <c r="B48" s="2">
        <v>45519</v>
      </c>
      <c r="C48" s="2" t="str">
        <f xml:space="preserve"> TEXT(Table1[[#This Row],[Date]], "MMM")</f>
        <v>Aug</v>
      </c>
      <c r="D48" s="2" t="str">
        <f>TEXT(Table1[[#This Row],[Date]], "YYYY")</f>
        <v>2024</v>
      </c>
      <c r="E48" s="1" t="s">
        <v>25</v>
      </c>
      <c r="F48" s="1" t="s">
        <v>16</v>
      </c>
      <c r="G48" s="1" t="s">
        <v>19</v>
      </c>
      <c r="H48" s="3">
        <v>577.72</v>
      </c>
      <c r="I48" s="3">
        <v>10</v>
      </c>
      <c r="J48" s="3">
        <v>51</v>
      </c>
    </row>
    <row r="49" spans="1:10" ht="30.75" thickBot="1" x14ac:dyDescent="0.3">
      <c r="A49" s="1" t="s">
        <v>67</v>
      </c>
      <c r="B49" s="2">
        <v>45194</v>
      </c>
      <c r="C49" s="2" t="str">
        <f xml:space="preserve"> TEXT(Table1[[#This Row],[Date]], "MMM")</f>
        <v>Sep</v>
      </c>
      <c r="D49" s="2" t="str">
        <f>TEXT(Table1[[#This Row],[Date]], "YYYY")</f>
        <v>2023</v>
      </c>
      <c r="E49" s="1" t="s">
        <v>9</v>
      </c>
      <c r="F49" s="1" t="s">
        <v>10</v>
      </c>
      <c r="G49" s="1" t="s">
        <v>26</v>
      </c>
      <c r="H49" s="3">
        <v>2659.17</v>
      </c>
      <c r="I49" s="3">
        <v>4</v>
      </c>
      <c r="J49" s="3">
        <v>542.39</v>
      </c>
    </row>
    <row r="50" spans="1:10" ht="30.75" thickBot="1" x14ac:dyDescent="0.3">
      <c r="A50" s="1" t="s">
        <v>68</v>
      </c>
      <c r="B50" s="2">
        <v>45061</v>
      </c>
      <c r="C50" s="2" t="str">
        <f xml:space="preserve"> TEXT(Table1[[#This Row],[Date]], "MMM")</f>
        <v>May</v>
      </c>
      <c r="D50" s="2" t="str">
        <f>TEXT(Table1[[#This Row],[Date]], "YYYY")</f>
        <v>2023</v>
      </c>
      <c r="E50" s="1" t="s">
        <v>23</v>
      </c>
      <c r="F50" s="1" t="s">
        <v>16</v>
      </c>
      <c r="G50" s="1" t="s">
        <v>21</v>
      </c>
      <c r="H50" s="3">
        <v>2771.33</v>
      </c>
      <c r="I50" s="3">
        <v>5</v>
      </c>
      <c r="J50" s="3">
        <v>376.64</v>
      </c>
    </row>
    <row r="51" spans="1:10" ht="30.75" thickBot="1" x14ac:dyDescent="0.3">
      <c r="A51" s="1" t="s">
        <v>69</v>
      </c>
      <c r="B51" s="2">
        <v>45396</v>
      </c>
      <c r="C51" s="2" t="str">
        <f xml:space="preserve"> TEXT(Table1[[#This Row],[Date]], "MMM")</f>
        <v>Apr</v>
      </c>
      <c r="D51" s="2" t="str">
        <f>TEXT(Table1[[#This Row],[Date]], "YYYY")</f>
        <v>2024</v>
      </c>
      <c r="E51" s="1" t="s">
        <v>13</v>
      </c>
      <c r="F51" s="1" t="s">
        <v>10</v>
      </c>
      <c r="G51" s="1" t="s">
        <v>11</v>
      </c>
      <c r="H51" s="3">
        <v>11969.38</v>
      </c>
      <c r="I51" s="3">
        <v>10</v>
      </c>
      <c r="J51" s="3">
        <v>798.79</v>
      </c>
    </row>
    <row r="52" spans="1:10" ht="30.75" thickBot="1" x14ac:dyDescent="0.3">
      <c r="A52" s="1" t="s">
        <v>70</v>
      </c>
      <c r="B52" s="2">
        <v>45445</v>
      </c>
      <c r="C52" s="2" t="str">
        <f xml:space="preserve"> TEXT(Table1[[#This Row],[Date]], "MMM")</f>
        <v>Jun</v>
      </c>
      <c r="D52" s="2" t="str">
        <f>TEXT(Table1[[#This Row],[Date]], "YYYY")</f>
        <v>2024</v>
      </c>
      <c r="E52" s="1" t="s">
        <v>13</v>
      </c>
      <c r="F52" s="1" t="s">
        <v>10</v>
      </c>
      <c r="G52" s="1" t="s">
        <v>19</v>
      </c>
      <c r="H52" s="3">
        <v>764.34</v>
      </c>
      <c r="I52" s="3">
        <v>5</v>
      </c>
      <c r="J52" s="3">
        <v>123.32</v>
      </c>
    </row>
    <row r="53" spans="1:10" ht="30.75" thickBot="1" x14ac:dyDescent="0.3">
      <c r="A53" s="1" t="s">
        <v>71</v>
      </c>
      <c r="B53" s="2">
        <v>45305</v>
      </c>
      <c r="C53" s="2" t="str">
        <f xml:space="preserve"> TEXT(Table1[[#This Row],[Date]], "MMM")</f>
        <v>Jan</v>
      </c>
      <c r="D53" s="2" t="str">
        <f>TEXT(Table1[[#This Row],[Date]], "YYYY")</f>
        <v>2024</v>
      </c>
      <c r="E53" s="1" t="s">
        <v>13</v>
      </c>
      <c r="F53" s="1" t="s">
        <v>10</v>
      </c>
      <c r="G53" s="1" t="s">
        <v>19</v>
      </c>
      <c r="H53" s="3">
        <v>1025.24</v>
      </c>
      <c r="I53" s="3">
        <v>5</v>
      </c>
      <c r="J53" s="3">
        <v>143.04</v>
      </c>
    </row>
    <row r="54" spans="1:10" ht="30.75" thickBot="1" x14ac:dyDescent="0.3">
      <c r="A54" s="1" t="s">
        <v>72</v>
      </c>
      <c r="B54" s="2">
        <v>45553</v>
      </c>
      <c r="C54" s="2" t="str">
        <f xml:space="preserve"> TEXT(Table1[[#This Row],[Date]], "MMM")</f>
        <v>Sep</v>
      </c>
      <c r="D54" s="2" t="str">
        <f>TEXT(Table1[[#This Row],[Date]], "YYYY")</f>
        <v>2024</v>
      </c>
      <c r="E54" s="1" t="s">
        <v>9</v>
      </c>
      <c r="F54" s="1" t="s">
        <v>10</v>
      </c>
      <c r="G54" s="1" t="s">
        <v>26</v>
      </c>
      <c r="H54" s="3">
        <v>335.17</v>
      </c>
      <c r="I54" s="3">
        <v>9</v>
      </c>
      <c r="J54" s="3">
        <v>26.1</v>
      </c>
    </row>
    <row r="55" spans="1:10" ht="30.75" thickBot="1" x14ac:dyDescent="0.3">
      <c r="A55" s="1" t="s">
        <v>73</v>
      </c>
      <c r="B55" s="2">
        <v>45064</v>
      </c>
      <c r="C55" s="2" t="str">
        <f xml:space="preserve"> TEXT(Table1[[#This Row],[Date]], "MMM")</f>
        <v>May</v>
      </c>
      <c r="D55" s="2" t="str">
        <f>TEXT(Table1[[#This Row],[Date]], "YYYY")</f>
        <v>2023</v>
      </c>
      <c r="E55" s="1" t="s">
        <v>23</v>
      </c>
      <c r="F55" s="1" t="s">
        <v>16</v>
      </c>
      <c r="G55" s="1" t="s">
        <v>11</v>
      </c>
      <c r="H55" s="3">
        <v>628.72</v>
      </c>
      <c r="I55" s="3">
        <v>5</v>
      </c>
      <c r="J55" s="3">
        <v>110.03</v>
      </c>
    </row>
    <row r="56" spans="1:10" ht="30.75" thickBot="1" x14ac:dyDescent="0.3">
      <c r="A56" s="1" t="s">
        <v>74</v>
      </c>
      <c r="B56" s="2">
        <v>45205</v>
      </c>
      <c r="C56" s="2" t="str">
        <f xml:space="preserve"> TEXT(Table1[[#This Row],[Date]], "MMM")</f>
        <v>Oct</v>
      </c>
      <c r="D56" s="2" t="str">
        <f>TEXT(Table1[[#This Row],[Date]], "YYYY")</f>
        <v>2023</v>
      </c>
      <c r="E56" s="1" t="s">
        <v>25</v>
      </c>
      <c r="F56" s="1" t="s">
        <v>16</v>
      </c>
      <c r="G56" s="1" t="s">
        <v>19</v>
      </c>
      <c r="H56" s="3">
        <v>3410.54</v>
      </c>
      <c r="I56" s="3">
        <v>5</v>
      </c>
      <c r="J56" s="3">
        <v>491.77</v>
      </c>
    </row>
    <row r="57" spans="1:10" ht="30.75" thickBot="1" x14ac:dyDescent="0.3">
      <c r="A57" s="1" t="s">
        <v>75</v>
      </c>
      <c r="B57" s="2">
        <v>45444</v>
      </c>
      <c r="C57" s="2" t="str">
        <f xml:space="preserve"> TEXT(Table1[[#This Row],[Date]], "MMM")</f>
        <v>Jun</v>
      </c>
      <c r="D57" s="2" t="str">
        <f>TEXT(Table1[[#This Row],[Date]], "YYYY")</f>
        <v>2024</v>
      </c>
      <c r="E57" s="1" t="s">
        <v>15</v>
      </c>
      <c r="F57" s="1" t="s">
        <v>16</v>
      </c>
      <c r="G57" s="1" t="s">
        <v>26</v>
      </c>
      <c r="H57" s="3">
        <v>2527</v>
      </c>
      <c r="I57" s="3">
        <v>8</v>
      </c>
      <c r="J57" s="3">
        <v>215.87</v>
      </c>
    </row>
    <row r="58" spans="1:10" ht="30.75" thickBot="1" x14ac:dyDescent="0.3">
      <c r="A58" s="1" t="s">
        <v>76</v>
      </c>
      <c r="B58" s="2">
        <v>45576</v>
      </c>
      <c r="C58" s="2" t="str">
        <f xml:space="preserve"> TEXT(Table1[[#This Row],[Date]], "MMM")</f>
        <v>Oct</v>
      </c>
      <c r="D58" s="2" t="str">
        <f>TEXT(Table1[[#This Row],[Date]], "YYYY")</f>
        <v>2024</v>
      </c>
      <c r="E58" s="1" t="s">
        <v>13</v>
      </c>
      <c r="F58" s="1" t="s">
        <v>10</v>
      </c>
      <c r="G58" s="1" t="s">
        <v>11</v>
      </c>
      <c r="H58" s="3">
        <v>5217.38</v>
      </c>
      <c r="I58" s="3">
        <v>7</v>
      </c>
      <c r="J58" s="3">
        <v>666.89</v>
      </c>
    </row>
    <row r="59" spans="1:10" ht="30.75" thickBot="1" x14ac:dyDescent="0.3">
      <c r="A59" s="1" t="s">
        <v>77</v>
      </c>
      <c r="B59" s="2">
        <v>45579</v>
      </c>
      <c r="C59" s="2" t="str">
        <f xml:space="preserve"> TEXT(Table1[[#This Row],[Date]], "MMM")</f>
        <v>Oct</v>
      </c>
      <c r="D59" s="2" t="str">
        <f>TEXT(Table1[[#This Row],[Date]], "YYYY")</f>
        <v>2024</v>
      </c>
      <c r="E59" s="1" t="s">
        <v>23</v>
      </c>
      <c r="F59" s="1" t="s">
        <v>16</v>
      </c>
      <c r="G59" s="1" t="s">
        <v>19</v>
      </c>
      <c r="H59" s="3">
        <v>932.21</v>
      </c>
      <c r="I59" s="3">
        <v>5</v>
      </c>
      <c r="J59" s="3">
        <v>146.03</v>
      </c>
    </row>
    <row r="60" spans="1:10" ht="30.75" thickBot="1" x14ac:dyDescent="0.3">
      <c r="A60" s="1" t="s">
        <v>78</v>
      </c>
      <c r="B60" s="2">
        <v>45501</v>
      </c>
      <c r="C60" s="2" t="str">
        <f xml:space="preserve"> TEXT(Table1[[#This Row],[Date]], "MMM")</f>
        <v>Jul</v>
      </c>
      <c r="D60" s="2" t="str">
        <f>TEXT(Table1[[#This Row],[Date]], "YYYY")</f>
        <v>2024</v>
      </c>
      <c r="E60" s="1" t="s">
        <v>9</v>
      </c>
      <c r="F60" s="1" t="s">
        <v>10</v>
      </c>
      <c r="G60" s="1" t="s">
        <v>21</v>
      </c>
      <c r="H60" s="3">
        <v>158.53</v>
      </c>
      <c r="I60" s="3">
        <v>1</v>
      </c>
      <c r="J60" s="3">
        <v>107.26</v>
      </c>
    </row>
    <row r="61" spans="1:10" ht="30.75" thickBot="1" x14ac:dyDescent="0.3">
      <c r="A61" s="1" t="s">
        <v>79</v>
      </c>
      <c r="B61" s="2">
        <v>45485</v>
      </c>
      <c r="C61" s="2" t="str">
        <f xml:space="preserve"> TEXT(Table1[[#This Row],[Date]], "MMM")</f>
        <v>Jul</v>
      </c>
      <c r="D61" s="2" t="str">
        <f>TEXT(Table1[[#This Row],[Date]], "YYYY")</f>
        <v>2024</v>
      </c>
      <c r="E61" s="1" t="s">
        <v>9</v>
      </c>
      <c r="F61" s="1" t="s">
        <v>10</v>
      </c>
      <c r="G61" s="1" t="s">
        <v>19</v>
      </c>
      <c r="H61" s="3">
        <v>894.42</v>
      </c>
      <c r="I61" s="3">
        <v>1</v>
      </c>
      <c r="J61" s="3">
        <v>670.98</v>
      </c>
    </row>
    <row r="62" spans="1:10" ht="30.75" thickBot="1" x14ac:dyDescent="0.3">
      <c r="A62" s="1" t="s">
        <v>80</v>
      </c>
      <c r="B62" s="2">
        <v>45057</v>
      </c>
      <c r="C62" s="2" t="str">
        <f xml:space="preserve"> TEXT(Table1[[#This Row],[Date]], "MMM")</f>
        <v>May</v>
      </c>
      <c r="D62" s="2" t="str">
        <f>TEXT(Table1[[#This Row],[Date]], "YYYY")</f>
        <v>2023</v>
      </c>
      <c r="E62" s="1" t="s">
        <v>15</v>
      </c>
      <c r="F62" s="1" t="s">
        <v>16</v>
      </c>
      <c r="G62" s="1" t="s">
        <v>21</v>
      </c>
      <c r="H62" s="3">
        <v>380.14</v>
      </c>
      <c r="I62" s="3">
        <v>1</v>
      </c>
      <c r="J62" s="3">
        <v>260.44</v>
      </c>
    </row>
    <row r="63" spans="1:10" ht="30.75" thickBot="1" x14ac:dyDescent="0.3">
      <c r="A63" s="1" t="s">
        <v>81</v>
      </c>
      <c r="B63" s="2">
        <v>45142</v>
      </c>
      <c r="C63" s="2" t="str">
        <f xml:space="preserve"> TEXT(Table1[[#This Row],[Date]], "MMM")</f>
        <v>Aug</v>
      </c>
      <c r="D63" s="2" t="str">
        <f>TEXT(Table1[[#This Row],[Date]], "YYYY")</f>
        <v>2023</v>
      </c>
      <c r="E63" s="1" t="s">
        <v>13</v>
      </c>
      <c r="F63" s="1" t="s">
        <v>10</v>
      </c>
      <c r="G63" s="1" t="s">
        <v>26</v>
      </c>
      <c r="H63" s="3">
        <v>2682.62</v>
      </c>
      <c r="I63" s="3">
        <v>4</v>
      </c>
      <c r="J63" s="3">
        <v>540.21</v>
      </c>
    </row>
    <row r="64" spans="1:10" ht="30.75" thickBot="1" x14ac:dyDescent="0.3">
      <c r="A64" s="1" t="s">
        <v>82</v>
      </c>
      <c r="B64" s="2">
        <v>45562</v>
      </c>
      <c r="C64" s="2" t="str">
        <f xml:space="preserve"> TEXT(Table1[[#This Row],[Date]], "MMM")</f>
        <v>Sep</v>
      </c>
      <c r="D64" s="2" t="str">
        <f>TEXT(Table1[[#This Row],[Date]], "YYYY")</f>
        <v>2024</v>
      </c>
      <c r="E64" s="1" t="s">
        <v>25</v>
      </c>
      <c r="F64" s="1" t="s">
        <v>16</v>
      </c>
      <c r="G64" s="1" t="s">
        <v>21</v>
      </c>
      <c r="H64" s="3">
        <v>2659.75</v>
      </c>
      <c r="I64" s="3">
        <v>3</v>
      </c>
      <c r="J64" s="3">
        <v>742.1</v>
      </c>
    </row>
    <row r="65" spans="1:10" ht="30.75" thickBot="1" x14ac:dyDescent="0.3">
      <c r="A65" s="1" t="s">
        <v>83</v>
      </c>
      <c r="B65" s="2">
        <v>45349</v>
      </c>
      <c r="C65" s="2" t="str">
        <f xml:space="preserve"> TEXT(Table1[[#This Row],[Date]], "MMM")</f>
        <v>Feb</v>
      </c>
      <c r="D65" s="2" t="str">
        <f>TEXT(Table1[[#This Row],[Date]], "YYYY")</f>
        <v>2024</v>
      </c>
      <c r="E65" s="1" t="s">
        <v>15</v>
      </c>
      <c r="F65" s="1" t="s">
        <v>16</v>
      </c>
      <c r="G65" s="1" t="s">
        <v>19</v>
      </c>
      <c r="H65" s="3">
        <v>235.02</v>
      </c>
      <c r="I65" s="3">
        <v>1</v>
      </c>
      <c r="J65" s="3">
        <v>159.9</v>
      </c>
    </row>
    <row r="66" spans="1:10" ht="30.75" thickBot="1" x14ac:dyDescent="0.3">
      <c r="A66" s="1" t="s">
        <v>84</v>
      </c>
      <c r="B66" s="2">
        <v>45200</v>
      </c>
      <c r="C66" s="2" t="str">
        <f xml:space="preserve"> TEXT(Table1[[#This Row],[Date]], "MMM")</f>
        <v>Oct</v>
      </c>
      <c r="D66" s="2" t="str">
        <f>TEXT(Table1[[#This Row],[Date]], "YYYY")</f>
        <v>2023</v>
      </c>
      <c r="E66" s="1" t="s">
        <v>18</v>
      </c>
      <c r="F66" s="1" t="s">
        <v>10</v>
      </c>
      <c r="G66" s="1" t="s">
        <v>19</v>
      </c>
      <c r="H66" s="3">
        <v>2174.9499999999998</v>
      </c>
      <c r="I66" s="3">
        <v>3</v>
      </c>
      <c r="J66" s="3">
        <v>634.15</v>
      </c>
    </row>
    <row r="67" spans="1:10" ht="30.75" thickBot="1" x14ac:dyDescent="0.3">
      <c r="A67" s="1" t="s">
        <v>85</v>
      </c>
      <c r="B67" s="2">
        <v>45154</v>
      </c>
      <c r="C67" s="2" t="str">
        <f xml:space="preserve"> TEXT(Table1[[#This Row],[Date]], "MMM")</f>
        <v>Aug</v>
      </c>
      <c r="D67" s="2" t="str">
        <f>TEXT(Table1[[#This Row],[Date]], "YYYY")</f>
        <v>2023</v>
      </c>
      <c r="E67" s="1" t="s">
        <v>13</v>
      </c>
      <c r="F67" s="1" t="s">
        <v>10</v>
      </c>
      <c r="G67" s="1" t="s">
        <v>21</v>
      </c>
      <c r="H67" s="3">
        <v>3374.36</v>
      </c>
      <c r="I67" s="3">
        <v>4</v>
      </c>
      <c r="J67" s="3">
        <v>656.94</v>
      </c>
    </row>
    <row r="68" spans="1:10" ht="30.75" thickBot="1" x14ac:dyDescent="0.3">
      <c r="A68" s="1" t="s">
        <v>86</v>
      </c>
      <c r="B68" s="2">
        <v>45155</v>
      </c>
      <c r="C68" s="2" t="str">
        <f xml:space="preserve"> TEXT(Table1[[#This Row],[Date]], "MMM")</f>
        <v>Aug</v>
      </c>
      <c r="D68" s="2" t="str">
        <f>TEXT(Table1[[#This Row],[Date]], "YYYY")</f>
        <v>2023</v>
      </c>
      <c r="E68" s="1" t="s">
        <v>23</v>
      </c>
      <c r="F68" s="1" t="s">
        <v>16</v>
      </c>
      <c r="G68" s="1" t="s">
        <v>19</v>
      </c>
      <c r="H68" s="3">
        <v>673.56</v>
      </c>
      <c r="I68" s="3">
        <v>1</v>
      </c>
      <c r="J68" s="3">
        <v>534.83000000000004</v>
      </c>
    </row>
    <row r="69" spans="1:10" ht="30.75" thickBot="1" x14ac:dyDescent="0.3">
      <c r="A69" s="1" t="s">
        <v>87</v>
      </c>
      <c r="B69" s="2">
        <v>45212</v>
      </c>
      <c r="C69" s="2" t="str">
        <f xml:space="preserve"> TEXT(Table1[[#This Row],[Date]], "MMM")</f>
        <v>Oct</v>
      </c>
      <c r="D69" s="2" t="str">
        <f>TEXT(Table1[[#This Row],[Date]], "YYYY")</f>
        <v>2023</v>
      </c>
      <c r="E69" s="1" t="s">
        <v>23</v>
      </c>
      <c r="F69" s="1" t="s">
        <v>16</v>
      </c>
      <c r="G69" s="1" t="s">
        <v>11</v>
      </c>
      <c r="H69" s="3">
        <v>3933.52</v>
      </c>
      <c r="I69" s="3">
        <v>6</v>
      </c>
      <c r="J69" s="3">
        <v>520.36</v>
      </c>
    </row>
    <row r="70" spans="1:10" ht="30.75" thickBot="1" x14ac:dyDescent="0.3">
      <c r="A70" s="1" t="s">
        <v>88</v>
      </c>
      <c r="B70" s="2">
        <v>44955</v>
      </c>
      <c r="C70" s="2" t="str">
        <f xml:space="preserve"> TEXT(Table1[[#This Row],[Date]], "MMM")</f>
        <v>Jan</v>
      </c>
      <c r="D70" s="2" t="str">
        <f>TEXT(Table1[[#This Row],[Date]], "YYYY")</f>
        <v>2023</v>
      </c>
      <c r="E70" s="1" t="s">
        <v>25</v>
      </c>
      <c r="F70" s="1" t="s">
        <v>16</v>
      </c>
      <c r="G70" s="1" t="s">
        <v>26</v>
      </c>
      <c r="H70" s="3">
        <v>1696.13</v>
      </c>
      <c r="I70" s="3">
        <v>2</v>
      </c>
      <c r="J70" s="3">
        <v>704.09</v>
      </c>
    </row>
    <row r="71" spans="1:10" ht="30.75" thickBot="1" x14ac:dyDescent="0.3">
      <c r="A71" s="1" t="s">
        <v>89</v>
      </c>
      <c r="B71" s="2">
        <v>44966</v>
      </c>
      <c r="C71" s="2" t="str">
        <f xml:space="preserve"> TEXT(Table1[[#This Row],[Date]], "MMM")</f>
        <v>Feb</v>
      </c>
      <c r="D71" s="2" t="str">
        <f>TEXT(Table1[[#This Row],[Date]], "YYYY")</f>
        <v>2023</v>
      </c>
      <c r="E71" s="1" t="s">
        <v>25</v>
      </c>
      <c r="F71" s="1" t="s">
        <v>16</v>
      </c>
      <c r="G71" s="1" t="s">
        <v>26</v>
      </c>
      <c r="H71" s="3">
        <v>1201.94</v>
      </c>
      <c r="I71" s="3">
        <v>2</v>
      </c>
      <c r="J71" s="3">
        <v>485.33</v>
      </c>
    </row>
    <row r="72" spans="1:10" ht="30.75" thickBot="1" x14ac:dyDescent="0.3">
      <c r="A72" s="1" t="s">
        <v>90</v>
      </c>
      <c r="B72" s="2">
        <v>45547</v>
      </c>
      <c r="C72" s="2" t="str">
        <f xml:space="preserve"> TEXT(Table1[[#This Row],[Date]], "MMM")</f>
        <v>Sep</v>
      </c>
      <c r="D72" s="2" t="str">
        <f>TEXT(Table1[[#This Row],[Date]], "YYYY")</f>
        <v>2024</v>
      </c>
      <c r="E72" s="1" t="s">
        <v>23</v>
      </c>
      <c r="F72" s="1" t="s">
        <v>16</v>
      </c>
      <c r="G72" s="1" t="s">
        <v>21</v>
      </c>
      <c r="H72" s="3">
        <v>1447.83</v>
      </c>
      <c r="I72" s="3">
        <v>9</v>
      </c>
      <c r="J72" s="3">
        <v>110.2</v>
      </c>
    </row>
    <row r="73" spans="1:10" ht="30.75" thickBot="1" x14ac:dyDescent="0.3">
      <c r="A73" s="1" t="s">
        <v>91</v>
      </c>
      <c r="B73" s="2">
        <v>44972</v>
      </c>
      <c r="C73" s="2" t="str">
        <f xml:space="preserve"> TEXT(Table1[[#This Row],[Date]], "MMM")</f>
        <v>Feb</v>
      </c>
      <c r="D73" s="2" t="str">
        <f>TEXT(Table1[[#This Row],[Date]], "YYYY")</f>
        <v>2023</v>
      </c>
      <c r="E73" s="1" t="s">
        <v>15</v>
      </c>
      <c r="F73" s="1" t="s">
        <v>16</v>
      </c>
      <c r="G73" s="1" t="s">
        <v>26</v>
      </c>
      <c r="H73" s="3">
        <v>219.42</v>
      </c>
      <c r="I73" s="3">
        <v>7</v>
      </c>
      <c r="J73" s="3">
        <v>21.32</v>
      </c>
    </row>
    <row r="74" spans="1:10" ht="30.75" thickBot="1" x14ac:dyDescent="0.3">
      <c r="A74" s="1" t="s">
        <v>92</v>
      </c>
      <c r="B74" s="2">
        <v>45299</v>
      </c>
      <c r="C74" s="2" t="str">
        <f xml:space="preserve"> TEXT(Table1[[#This Row],[Date]], "MMM")</f>
        <v>Jan</v>
      </c>
      <c r="D74" s="2" t="str">
        <f>TEXT(Table1[[#This Row],[Date]], "YYYY")</f>
        <v>2024</v>
      </c>
      <c r="E74" s="1" t="s">
        <v>25</v>
      </c>
      <c r="F74" s="1" t="s">
        <v>16</v>
      </c>
      <c r="G74" s="1" t="s">
        <v>19</v>
      </c>
      <c r="H74" s="3">
        <v>712.97</v>
      </c>
      <c r="I74" s="3">
        <v>7</v>
      </c>
      <c r="J74" s="3">
        <v>74.58</v>
      </c>
    </row>
    <row r="75" spans="1:10" ht="30.75" thickBot="1" x14ac:dyDescent="0.3">
      <c r="A75" s="1" t="s">
        <v>93</v>
      </c>
      <c r="B75" s="2">
        <v>45606</v>
      </c>
      <c r="C75" s="2" t="str">
        <f xml:space="preserve"> TEXT(Table1[[#This Row],[Date]], "MMM")</f>
        <v>Nov</v>
      </c>
      <c r="D75" s="2" t="str">
        <f>TEXT(Table1[[#This Row],[Date]], "YYYY")</f>
        <v>2024</v>
      </c>
      <c r="E75" s="1" t="s">
        <v>23</v>
      </c>
      <c r="F75" s="1" t="s">
        <v>16</v>
      </c>
      <c r="G75" s="1" t="s">
        <v>26</v>
      </c>
      <c r="H75" s="3">
        <v>1418.79</v>
      </c>
      <c r="I75" s="3">
        <v>2</v>
      </c>
      <c r="J75" s="3">
        <v>581.41</v>
      </c>
    </row>
    <row r="76" spans="1:10" ht="30.75" thickBot="1" x14ac:dyDescent="0.3">
      <c r="A76" s="1" t="s">
        <v>94</v>
      </c>
      <c r="B76" s="2">
        <v>45261</v>
      </c>
      <c r="C76" s="2" t="str">
        <f xml:space="preserve"> TEXT(Table1[[#This Row],[Date]], "MMM")</f>
        <v>Dec</v>
      </c>
      <c r="D76" s="2" t="str">
        <f>TEXT(Table1[[#This Row],[Date]], "YYYY")</f>
        <v>2023</v>
      </c>
      <c r="E76" s="1" t="s">
        <v>23</v>
      </c>
      <c r="F76" s="1" t="s">
        <v>16</v>
      </c>
      <c r="G76" s="1" t="s">
        <v>21</v>
      </c>
      <c r="H76" s="3">
        <v>5216.66</v>
      </c>
      <c r="I76" s="3">
        <v>7</v>
      </c>
      <c r="J76" s="3">
        <v>563.82000000000005</v>
      </c>
    </row>
    <row r="77" spans="1:10" ht="30.75" thickBot="1" x14ac:dyDescent="0.3">
      <c r="A77" s="1" t="s">
        <v>95</v>
      </c>
      <c r="B77" s="2">
        <v>45607</v>
      </c>
      <c r="C77" s="2" t="str">
        <f xml:space="preserve"> TEXT(Table1[[#This Row],[Date]], "MMM")</f>
        <v>Nov</v>
      </c>
      <c r="D77" s="2" t="str">
        <f>TEXT(Table1[[#This Row],[Date]], "YYYY")</f>
        <v>2024</v>
      </c>
      <c r="E77" s="1" t="s">
        <v>15</v>
      </c>
      <c r="F77" s="1" t="s">
        <v>16</v>
      </c>
      <c r="G77" s="1" t="s">
        <v>21</v>
      </c>
      <c r="H77" s="3">
        <v>5608.04</v>
      </c>
      <c r="I77" s="3">
        <v>7</v>
      </c>
      <c r="J77" s="3">
        <v>548.30999999999995</v>
      </c>
    </row>
    <row r="78" spans="1:10" ht="30.75" thickBot="1" x14ac:dyDescent="0.3">
      <c r="A78" s="1" t="s">
        <v>96</v>
      </c>
      <c r="B78" s="2">
        <v>45342</v>
      </c>
      <c r="C78" s="2" t="str">
        <f xml:space="preserve"> TEXT(Table1[[#This Row],[Date]], "MMM")</f>
        <v>Feb</v>
      </c>
      <c r="D78" s="2" t="str">
        <f>TEXT(Table1[[#This Row],[Date]], "YYYY")</f>
        <v>2024</v>
      </c>
      <c r="E78" s="1" t="s">
        <v>25</v>
      </c>
      <c r="F78" s="1" t="s">
        <v>16</v>
      </c>
      <c r="G78" s="1" t="s">
        <v>26</v>
      </c>
      <c r="H78" s="3">
        <v>7369.35</v>
      </c>
      <c r="I78" s="3">
        <v>9</v>
      </c>
      <c r="J78" s="3">
        <v>670.31</v>
      </c>
    </row>
    <row r="79" spans="1:10" ht="30.75" thickBot="1" x14ac:dyDescent="0.3">
      <c r="A79" s="1" t="s">
        <v>97</v>
      </c>
      <c r="B79" s="2">
        <v>45520</v>
      </c>
      <c r="C79" s="2" t="str">
        <f xml:space="preserve"> TEXT(Table1[[#This Row],[Date]], "MMM")</f>
        <v>Aug</v>
      </c>
      <c r="D79" s="2" t="str">
        <f>TEXT(Table1[[#This Row],[Date]], "YYYY")</f>
        <v>2024</v>
      </c>
      <c r="E79" s="1" t="s">
        <v>15</v>
      </c>
      <c r="F79" s="1" t="s">
        <v>16</v>
      </c>
      <c r="G79" s="1" t="s">
        <v>21</v>
      </c>
      <c r="H79" s="3">
        <v>6824.39</v>
      </c>
      <c r="I79" s="3">
        <v>10</v>
      </c>
      <c r="J79" s="3">
        <v>530.66999999999996</v>
      </c>
    </row>
    <row r="80" spans="1:10" ht="30.75" thickBot="1" x14ac:dyDescent="0.3">
      <c r="A80" s="1" t="s">
        <v>98</v>
      </c>
      <c r="B80" s="2">
        <v>45450</v>
      </c>
      <c r="C80" s="2" t="str">
        <f xml:space="preserve"> TEXT(Table1[[#This Row],[Date]], "MMM")</f>
        <v>Jun</v>
      </c>
      <c r="D80" s="2" t="str">
        <f>TEXT(Table1[[#This Row],[Date]], "YYYY")</f>
        <v>2024</v>
      </c>
      <c r="E80" s="1" t="s">
        <v>18</v>
      </c>
      <c r="F80" s="1" t="s">
        <v>10</v>
      </c>
      <c r="G80" s="1" t="s">
        <v>19</v>
      </c>
      <c r="H80" s="3">
        <v>7587.17</v>
      </c>
      <c r="I80" s="3">
        <v>8</v>
      </c>
      <c r="J80" s="3">
        <v>639.11</v>
      </c>
    </row>
    <row r="81" spans="1:10" ht="30.75" thickBot="1" x14ac:dyDescent="0.3">
      <c r="A81" s="1" t="s">
        <v>99</v>
      </c>
      <c r="B81" s="2">
        <v>45601</v>
      </c>
      <c r="C81" s="2" t="str">
        <f xml:space="preserve"> TEXT(Table1[[#This Row],[Date]], "MMM")</f>
        <v>Nov</v>
      </c>
      <c r="D81" s="2" t="str">
        <f>TEXT(Table1[[#This Row],[Date]], "YYYY")</f>
        <v>2024</v>
      </c>
      <c r="E81" s="1" t="s">
        <v>9</v>
      </c>
      <c r="F81" s="1" t="s">
        <v>10</v>
      </c>
      <c r="G81" s="1" t="s">
        <v>19</v>
      </c>
      <c r="H81" s="3">
        <v>659.15</v>
      </c>
      <c r="I81" s="3">
        <v>2</v>
      </c>
      <c r="J81" s="3">
        <v>241.35</v>
      </c>
    </row>
    <row r="82" spans="1:10" ht="30.75" thickBot="1" x14ac:dyDescent="0.3">
      <c r="A82" s="1" t="s">
        <v>100</v>
      </c>
      <c r="B82" s="2">
        <v>45022</v>
      </c>
      <c r="C82" s="2" t="str">
        <f xml:space="preserve"> TEXT(Table1[[#This Row],[Date]], "MMM")</f>
        <v>Apr</v>
      </c>
      <c r="D82" s="2" t="str">
        <f>TEXT(Table1[[#This Row],[Date]], "YYYY")</f>
        <v>2023</v>
      </c>
      <c r="E82" s="1" t="s">
        <v>25</v>
      </c>
      <c r="F82" s="1" t="s">
        <v>16</v>
      </c>
      <c r="G82" s="1" t="s">
        <v>26</v>
      </c>
      <c r="H82" s="3">
        <v>2592.84</v>
      </c>
      <c r="I82" s="3">
        <v>4</v>
      </c>
      <c r="J82" s="3">
        <v>544.78</v>
      </c>
    </row>
    <row r="83" spans="1:10" ht="30.75" thickBot="1" x14ac:dyDescent="0.3">
      <c r="A83" s="1" t="s">
        <v>101</v>
      </c>
      <c r="B83" s="2">
        <v>44952</v>
      </c>
      <c r="C83" s="2" t="str">
        <f xml:space="preserve"> TEXT(Table1[[#This Row],[Date]], "MMM")</f>
        <v>Jan</v>
      </c>
      <c r="D83" s="2" t="str">
        <f>TEXT(Table1[[#This Row],[Date]], "YYYY")</f>
        <v>2023</v>
      </c>
      <c r="E83" s="1" t="s">
        <v>15</v>
      </c>
      <c r="F83" s="1" t="s">
        <v>16</v>
      </c>
      <c r="G83" s="1" t="s">
        <v>19</v>
      </c>
      <c r="H83" s="3">
        <v>272.18</v>
      </c>
      <c r="I83" s="3">
        <v>1</v>
      </c>
      <c r="J83" s="3">
        <v>210.98</v>
      </c>
    </row>
    <row r="84" spans="1:10" ht="30.75" thickBot="1" x14ac:dyDescent="0.3">
      <c r="A84" s="1" t="s">
        <v>102</v>
      </c>
      <c r="B84" s="2">
        <v>45351</v>
      </c>
      <c r="C84" s="2" t="str">
        <f xml:space="preserve"> TEXT(Table1[[#This Row],[Date]], "MMM")</f>
        <v>Feb</v>
      </c>
      <c r="D84" s="2" t="str">
        <f>TEXT(Table1[[#This Row],[Date]], "YYYY")</f>
        <v>2024</v>
      </c>
      <c r="E84" s="1" t="s">
        <v>13</v>
      </c>
      <c r="F84" s="1" t="s">
        <v>10</v>
      </c>
      <c r="G84" s="1" t="s">
        <v>21</v>
      </c>
      <c r="H84" s="3">
        <v>2366.4</v>
      </c>
      <c r="I84" s="3">
        <v>10</v>
      </c>
      <c r="J84" s="3">
        <v>171.66</v>
      </c>
    </row>
    <row r="85" spans="1:10" ht="30.75" thickBot="1" x14ac:dyDescent="0.3">
      <c r="A85" s="1" t="s">
        <v>103</v>
      </c>
      <c r="B85" s="2">
        <v>45176</v>
      </c>
      <c r="C85" s="2" t="str">
        <f xml:space="preserve"> TEXT(Table1[[#This Row],[Date]], "MMM")</f>
        <v>Sep</v>
      </c>
      <c r="D85" s="2" t="str">
        <f>TEXT(Table1[[#This Row],[Date]], "YYYY")</f>
        <v>2023</v>
      </c>
      <c r="E85" s="1" t="s">
        <v>18</v>
      </c>
      <c r="F85" s="1" t="s">
        <v>10</v>
      </c>
      <c r="G85" s="1" t="s">
        <v>21</v>
      </c>
      <c r="H85" s="3">
        <v>1758.25</v>
      </c>
      <c r="I85" s="3">
        <v>3</v>
      </c>
      <c r="J85" s="3">
        <v>531.73</v>
      </c>
    </row>
    <row r="86" spans="1:10" ht="30.75" thickBot="1" x14ac:dyDescent="0.3">
      <c r="A86" s="1" t="s">
        <v>104</v>
      </c>
      <c r="B86" s="2">
        <v>45151</v>
      </c>
      <c r="C86" s="2" t="str">
        <f xml:space="preserve"> TEXT(Table1[[#This Row],[Date]], "MMM")</f>
        <v>Aug</v>
      </c>
      <c r="D86" s="2" t="str">
        <f>TEXT(Table1[[#This Row],[Date]], "YYYY")</f>
        <v>2023</v>
      </c>
      <c r="E86" s="1" t="s">
        <v>13</v>
      </c>
      <c r="F86" s="1" t="s">
        <v>10</v>
      </c>
      <c r="G86" s="1" t="s">
        <v>21</v>
      </c>
      <c r="H86" s="3">
        <v>2676.27</v>
      </c>
      <c r="I86" s="3">
        <v>3</v>
      </c>
      <c r="J86" s="3">
        <v>647.21</v>
      </c>
    </row>
    <row r="87" spans="1:10" ht="30.75" thickBot="1" x14ac:dyDescent="0.3">
      <c r="A87" s="1" t="s">
        <v>105</v>
      </c>
      <c r="B87" s="2">
        <v>45497</v>
      </c>
      <c r="C87" s="2" t="str">
        <f xml:space="preserve"> TEXT(Table1[[#This Row],[Date]], "MMM")</f>
        <v>Jul</v>
      </c>
      <c r="D87" s="2" t="str">
        <f>TEXT(Table1[[#This Row],[Date]], "YYYY")</f>
        <v>2024</v>
      </c>
      <c r="E87" s="1" t="s">
        <v>18</v>
      </c>
      <c r="F87" s="1" t="s">
        <v>10</v>
      </c>
      <c r="G87" s="1" t="s">
        <v>11</v>
      </c>
      <c r="H87" s="3">
        <v>3379.61</v>
      </c>
      <c r="I87" s="3">
        <v>4</v>
      </c>
      <c r="J87" s="3">
        <v>735.63</v>
      </c>
    </row>
    <row r="88" spans="1:10" ht="30.75" thickBot="1" x14ac:dyDescent="0.3">
      <c r="A88" s="1" t="s">
        <v>106</v>
      </c>
      <c r="B88" s="2">
        <v>45610</v>
      </c>
      <c r="C88" s="2" t="str">
        <f xml:space="preserve"> TEXT(Table1[[#This Row],[Date]], "MMM")</f>
        <v>Nov</v>
      </c>
      <c r="D88" s="2" t="str">
        <f>TEXT(Table1[[#This Row],[Date]], "YYYY")</f>
        <v>2024</v>
      </c>
      <c r="E88" s="1" t="s">
        <v>15</v>
      </c>
      <c r="F88" s="1" t="s">
        <v>16</v>
      </c>
      <c r="G88" s="1" t="s">
        <v>21</v>
      </c>
      <c r="H88" s="3">
        <v>9521.2099999999991</v>
      </c>
      <c r="I88" s="3">
        <v>9</v>
      </c>
      <c r="J88" s="3">
        <v>790.56</v>
      </c>
    </row>
    <row r="89" spans="1:10" ht="30.75" thickBot="1" x14ac:dyDescent="0.3">
      <c r="A89" s="1" t="s">
        <v>107</v>
      </c>
      <c r="B89" s="2">
        <v>45488</v>
      </c>
      <c r="C89" s="2" t="str">
        <f xml:space="preserve"> TEXT(Table1[[#This Row],[Date]], "MMM")</f>
        <v>Jul</v>
      </c>
      <c r="D89" s="2" t="str">
        <f>TEXT(Table1[[#This Row],[Date]], "YYYY")</f>
        <v>2024</v>
      </c>
      <c r="E89" s="1" t="s">
        <v>18</v>
      </c>
      <c r="F89" s="1" t="s">
        <v>10</v>
      </c>
      <c r="G89" s="1" t="s">
        <v>21</v>
      </c>
      <c r="H89" s="3">
        <v>8047.37</v>
      </c>
      <c r="I89" s="3">
        <v>8</v>
      </c>
      <c r="J89" s="3">
        <v>719.82</v>
      </c>
    </row>
    <row r="90" spans="1:10" ht="30.75" thickBot="1" x14ac:dyDescent="0.3">
      <c r="A90" s="1" t="s">
        <v>108</v>
      </c>
      <c r="B90" s="2">
        <v>45192</v>
      </c>
      <c r="C90" s="2" t="str">
        <f xml:space="preserve"> TEXT(Table1[[#This Row],[Date]], "MMM")</f>
        <v>Sep</v>
      </c>
      <c r="D90" s="2" t="str">
        <f>TEXT(Table1[[#This Row],[Date]], "YYYY")</f>
        <v>2023</v>
      </c>
      <c r="E90" s="1" t="s">
        <v>18</v>
      </c>
      <c r="F90" s="1" t="s">
        <v>10</v>
      </c>
      <c r="G90" s="1" t="s">
        <v>21</v>
      </c>
      <c r="H90" s="3">
        <v>3269.93</v>
      </c>
      <c r="I90" s="3">
        <v>4</v>
      </c>
      <c r="J90" s="3">
        <v>675.09</v>
      </c>
    </row>
    <row r="91" spans="1:10" ht="30.75" thickBot="1" x14ac:dyDescent="0.3">
      <c r="A91" s="1" t="s">
        <v>109</v>
      </c>
      <c r="B91" s="2">
        <v>45568</v>
      </c>
      <c r="C91" s="2" t="str">
        <f xml:space="preserve"> TEXT(Table1[[#This Row],[Date]], "MMM")</f>
        <v>Oct</v>
      </c>
      <c r="D91" s="2" t="str">
        <f>TEXT(Table1[[#This Row],[Date]], "YYYY")</f>
        <v>2024</v>
      </c>
      <c r="E91" s="1" t="s">
        <v>25</v>
      </c>
      <c r="F91" s="1" t="s">
        <v>16</v>
      </c>
      <c r="G91" s="1" t="s">
        <v>21</v>
      </c>
      <c r="H91" s="3">
        <v>1059.47</v>
      </c>
      <c r="I91" s="3">
        <v>4</v>
      </c>
      <c r="J91" s="3">
        <v>234.19</v>
      </c>
    </row>
    <row r="92" spans="1:10" ht="30.75" thickBot="1" x14ac:dyDescent="0.3">
      <c r="A92" s="1" t="s">
        <v>110</v>
      </c>
      <c r="B92" s="2">
        <v>45205</v>
      </c>
      <c r="C92" s="2" t="str">
        <f xml:space="preserve"> TEXT(Table1[[#This Row],[Date]], "MMM")</f>
        <v>Oct</v>
      </c>
      <c r="D92" s="2" t="str">
        <f>TEXT(Table1[[#This Row],[Date]], "YYYY")</f>
        <v>2023</v>
      </c>
      <c r="E92" s="1" t="s">
        <v>23</v>
      </c>
      <c r="F92" s="1" t="s">
        <v>16</v>
      </c>
      <c r="G92" s="1" t="s">
        <v>19</v>
      </c>
      <c r="H92" s="3">
        <v>2127.04</v>
      </c>
      <c r="I92" s="3">
        <v>6</v>
      </c>
      <c r="J92" s="3">
        <v>269.37</v>
      </c>
    </row>
    <row r="93" spans="1:10" ht="30.75" thickBot="1" x14ac:dyDescent="0.3">
      <c r="A93" s="1" t="s">
        <v>111</v>
      </c>
      <c r="B93" s="2">
        <v>45163</v>
      </c>
      <c r="C93" s="2" t="str">
        <f xml:space="preserve"> TEXT(Table1[[#This Row],[Date]], "MMM")</f>
        <v>Aug</v>
      </c>
      <c r="D93" s="2" t="str">
        <f>TEXT(Table1[[#This Row],[Date]], "YYYY")</f>
        <v>2023</v>
      </c>
      <c r="E93" s="1" t="s">
        <v>15</v>
      </c>
      <c r="F93" s="1" t="s">
        <v>16</v>
      </c>
      <c r="G93" s="1" t="s">
        <v>19</v>
      </c>
      <c r="H93" s="3">
        <v>5432.05</v>
      </c>
      <c r="I93" s="3">
        <v>7</v>
      </c>
      <c r="J93" s="3">
        <v>561.28</v>
      </c>
    </row>
    <row r="94" spans="1:10" ht="30.75" thickBot="1" x14ac:dyDescent="0.3">
      <c r="A94" s="1" t="s">
        <v>112</v>
      </c>
      <c r="B94" s="2">
        <v>45344</v>
      </c>
      <c r="C94" s="2" t="str">
        <f xml:space="preserve"> TEXT(Table1[[#This Row],[Date]], "MMM")</f>
        <v>Feb</v>
      </c>
      <c r="D94" s="2" t="str">
        <f>TEXT(Table1[[#This Row],[Date]], "YYYY")</f>
        <v>2024</v>
      </c>
      <c r="E94" s="1" t="s">
        <v>13</v>
      </c>
      <c r="F94" s="1" t="s">
        <v>10</v>
      </c>
      <c r="G94" s="1" t="s">
        <v>21</v>
      </c>
      <c r="H94" s="3">
        <v>3367.67</v>
      </c>
      <c r="I94" s="3">
        <v>6</v>
      </c>
      <c r="J94" s="3">
        <v>443.24</v>
      </c>
    </row>
    <row r="95" spans="1:10" ht="30.75" thickBot="1" x14ac:dyDescent="0.3">
      <c r="A95" s="1" t="s">
        <v>113</v>
      </c>
      <c r="B95" s="2">
        <v>45325</v>
      </c>
      <c r="C95" s="2" t="str">
        <f xml:space="preserve"> TEXT(Table1[[#This Row],[Date]], "MMM")</f>
        <v>Feb</v>
      </c>
      <c r="D95" s="2" t="str">
        <f>TEXT(Table1[[#This Row],[Date]], "YYYY")</f>
        <v>2024</v>
      </c>
      <c r="E95" s="1" t="s">
        <v>15</v>
      </c>
      <c r="F95" s="1" t="s">
        <v>16</v>
      </c>
      <c r="G95" s="1" t="s">
        <v>21</v>
      </c>
      <c r="H95" s="3">
        <v>8396.4500000000007</v>
      </c>
      <c r="I95" s="3">
        <v>10</v>
      </c>
      <c r="J95" s="3">
        <v>757.93</v>
      </c>
    </row>
    <row r="96" spans="1:10" ht="30.75" thickBot="1" x14ac:dyDescent="0.3">
      <c r="A96" s="1" t="s">
        <v>114</v>
      </c>
      <c r="B96" s="2">
        <v>45415</v>
      </c>
      <c r="C96" s="2" t="str">
        <f xml:space="preserve"> TEXT(Table1[[#This Row],[Date]], "MMM")</f>
        <v>May</v>
      </c>
      <c r="D96" s="2" t="str">
        <f>TEXT(Table1[[#This Row],[Date]], "YYYY")</f>
        <v>2024</v>
      </c>
      <c r="E96" s="1" t="s">
        <v>25</v>
      </c>
      <c r="F96" s="1" t="s">
        <v>16</v>
      </c>
      <c r="G96" s="1" t="s">
        <v>21</v>
      </c>
      <c r="H96" s="3">
        <v>921.1</v>
      </c>
      <c r="I96" s="3">
        <v>1</v>
      </c>
      <c r="J96" s="3">
        <v>755.34</v>
      </c>
    </row>
    <row r="97" spans="1:10" ht="30.75" thickBot="1" x14ac:dyDescent="0.3">
      <c r="A97" s="1" t="s">
        <v>115</v>
      </c>
      <c r="B97" s="2">
        <v>45478</v>
      </c>
      <c r="C97" s="2" t="str">
        <f xml:space="preserve"> TEXT(Table1[[#This Row],[Date]], "MMM")</f>
        <v>Jul</v>
      </c>
      <c r="D97" s="2" t="str">
        <f>TEXT(Table1[[#This Row],[Date]], "YYYY")</f>
        <v>2024</v>
      </c>
      <c r="E97" s="1" t="s">
        <v>18</v>
      </c>
      <c r="F97" s="1" t="s">
        <v>10</v>
      </c>
      <c r="G97" s="1" t="s">
        <v>21</v>
      </c>
      <c r="H97" s="3">
        <v>8455.77</v>
      </c>
      <c r="I97" s="3">
        <v>9</v>
      </c>
      <c r="J97" s="3">
        <v>643.9</v>
      </c>
    </row>
    <row r="98" spans="1:10" ht="30.75" thickBot="1" x14ac:dyDescent="0.3">
      <c r="A98" s="1" t="s">
        <v>116</v>
      </c>
      <c r="B98" s="2">
        <v>45206</v>
      </c>
      <c r="C98" s="2" t="str">
        <f xml:space="preserve"> TEXT(Table1[[#This Row],[Date]], "MMM")</f>
        <v>Oct</v>
      </c>
      <c r="D98" s="2" t="str">
        <f>TEXT(Table1[[#This Row],[Date]], "YYYY")</f>
        <v>2023</v>
      </c>
      <c r="E98" s="1" t="s">
        <v>18</v>
      </c>
      <c r="F98" s="1" t="s">
        <v>10</v>
      </c>
      <c r="G98" s="1" t="s">
        <v>19</v>
      </c>
      <c r="H98" s="3">
        <v>3504.97</v>
      </c>
      <c r="I98" s="3">
        <v>7</v>
      </c>
      <c r="J98" s="3">
        <v>398.8</v>
      </c>
    </row>
    <row r="99" spans="1:10" ht="30.75" thickBot="1" x14ac:dyDescent="0.3">
      <c r="A99" s="1" t="s">
        <v>117</v>
      </c>
      <c r="B99" s="2">
        <v>45096</v>
      </c>
      <c r="C99" s="2" t="str">
        <f xml:space="preserve"> TEXT(Table1[[#This Row],[Date]], "MMM")</f>
        <v>Jun</v>
      </c>
      <c r="D99" s="2" t="str">
        <f>TEXT(Table1[[#This Row],[Date]], "YYYY")</f>
        <v>2023</v>
      </c>
      <c r="E99" s="1" t="s">
        <v>9</v>
      </c>
      <c r="F99" s="1" t="s">
        <v>10</v>
      </c>
      <c r="G99" s="1" t="s">
        <v>21</v>
      </c>
      <c r="H99" s="3">
        <v>8801.4</v>
      </c>
      <c r="I99" s="3">
        <v>8</v>
      </c>
      <c r="J99" s="3">
        <v>737.24</v>
      </c>
    </row>
    <row r="100" spans="1:10" ht="30.75" thickBot="1" x14ac:dyDescent="0.3">
      <c r="A100" s="1" t="s">
        <v>118</v>
      </c>
      <c r="B100" s="2">
        <v>45330</v>
      </c>
      <c r="C100" s="2" t="str">
        <f xml:space="preserve"> TEXT(Table1[[#This Row],[Date]], "MMM")</f>
        <v>Feb</v>
      </c>
      <c r="D100" s="2" t="str">
        <f>TEXT(Table1[[#This Row],[Date]], "YYYY")</f>
        <v>2024</v>
      </c>
      <c r="E100" s="1" t="s">
        <v>25</v>
      </c>
      <c r="F100" s="1" t="s">
        <v>16</v>
      </c>
      <c r="G100" s="1" t="s">
        <v>11</v>
      </c>
      <c r="H100" s="3">
        <v>5112.42</v>
      </c>
      <c r="I100" s="3">
        <v>10</v>
      </c>
      <c r="J100" s="3">
        <v>460.23</v>
      </c>
    </row>
    <row r="101" spans="1:10" ht="30.75" thickBot="1" x14ac:dyDescent="0.3">
      <c r="A101" s="1" t="s">
        <v>119</v>
      </c>
      <c r="B101" s="2">
        <v>45065</v>
      </c>
      <c r="C101" s="2" t="str">
        <f xml:space="preserve"> TEXT(Table1[[#This Row],[Date]], "MMM")</f>
        <v>May</v>
      </c>
      <c r="D101" s="2" t="str">
        <f>TEXT(Table1[[#This Row],[Date]], "YYYY")</f>
        <v>2023</v>
      </c>
      <c r="E101" s="1" t="s">
        <v>9</v>
      </c>
      <c r="F101" s="1" t="s">
        <v>10</v>
      </c>
      <c r="G101" s="1" t="s">
        <v>21</v>
      </c>
      <c r="H101" s="3">
        <v>1558.06</v>
      </c>
      <c r="I101" s="3">
        <v>8</v>
      </c>
      <c r="J101" s="3">
        <v>161.75</v>
      </c>
    </row>
    <row r="102" spans="1:10" ht="30.75" thickBot="1" x14ac:dyDescent="0.3">
      <c r="A102" s="1" t="s">
        <v>120</v>
      </c>
      <c r="B102" s="2">
        <v>45392</v>
      </c>
      <c r="C102" s="2" t="str">
        <f xml:space="preserve"> TEXT(Table1[[#This Row],[Date]], "MMM")</f>
        <v>Apr</v>
      </c>
      <c r="D102" s="2" t="str">
        <f>TEXT(Table1[[#This Row],[Date]], "YYYY")</f>
        <v>2024</v>
      </c>
      <c r="E102" s="1" t="s">
        <v>23</v>
      </c>
      <c r="F102" s="1" t="s">
        <v>16</v>
      </c>
      <c r="G102" s="1" t="s">
        <v>19</v>
      </c>
      <c r="H102" s="3">
        <v>2467.4299999999998</v>
      </c>
      <c r="I102" s="3">
        <v>6</v>
      </c>
      <c r="J102" s="3">
        <v>283.25</v>
      </c>
    </row>
    <row r="103" spans="1:10" ht="30.75" thickBot="1" x14ac:dyDescent="0.3">
      <c r="A103" s="1" t="s">
        <v>121</v>
      </c>
      <c r="B103" s="2">
        <v>45185</v>
      </c>
      <c r="C103" s="2" t="str">
        <f xml:space="preserve"> TEXT(Table1[[#This Row],[Date]], "MMM")</f>
        <v>Sep</v>
      </c>
      <c r="D103" s="2" t="str">
        <f>TEXT(Table1[[#This Row],[Date]], "YYYY")</f>
        <v>2023</v>
      </c>
      <c r="E103" s="1" t="s">
        <v>23</v>
      </c>
      <c r="F103" s="1" t="s">
        <v>16</v>
      </c>
      <c r="G103" s="1" t="s">
        <v>21</v>
      </c>
      <c r="H103" s="3">
        <v>1082.8499999999999</v>
      </c>
      <c r="I103" s="3">
        <v>2</v>
      </c>
      <c r="J103" s="3">
        <v>386.84</v>
      </c>
    </row>
    <row r="104" spans="1:10" ht="30.75" thickBot="1" x14ac:dyDescent="0.3">
      <c r="A104" s="1" t="s">
        <v>122</v>
      </c>
      <c r="B104" s="2">
        <v>45156</v>
      </c>
      <c r="C104" s="2" t="str">
        <f xml:space="preserve"> TEXT(Table1[[#This Row],[Date]], "MMM")</f>
        <v>Aug</v>
      </c>
      <c r="D104" s="2" t="str">
        <f>TEXT(Table1[[#This Row],[Date]], "YYYY")</f>
        <v>2023</v>
      </c>
      <c r="E104" s="1" t="s">
        <v>13</v>
      </c>
      <c r="F104" s="1" t="s">
        <v>10</v>
      </c>
      <c r="G104" s="1" t="s">
        <v>26</v>
      </c>
      <c r="H104" s="3">
        <v>1712.74</v>
      </c>
      <c r="I104" s="3">
        <v>2</v>
      </c>
      <c r="J104" s="3">
        <v>629.36</v>
      </c>
    </row>
    <row r="105" spans="1:10" ht="30.75" thickBot="1" x14ac:dyDescent="0.3">
      <c r="A105" s="1" t="s">
        <v>123</v>
      </c>
      <c r="B105" s="2">
        <v>45131</v>
      </c>
      <c r="C105" s="2" t="str">
        <f xml:space="preserve"> TEXT(Table1[[#This Row],[Date]], "MMM")</f>
        <v>Jul</v>
      </c>
      <c r="D105" s="2" t="str">
        <f>TEXT(Table1[[#This Row],[Date]], "YYYY")</f>
        <v>2023</v>
      </c>
      <c r="E105" s="1" t="s">
        <v>13</v>
      </c>
      <c r="F105" s="1" t="s">
        <v>10</v>
      </c>
      <c r="G105" s="1" t="s">
        <v>19</v>
      </c>
      <c r="H105" s="3">
        <v>603.26</v>
      </c>
      <c r="I105" s="3">
        <v>1</v>
      </c>
      <c r="J105" s="3">
        <v>504.64</v>
      </c>
    </row>
    <row r="106" spans="1:10" ht="30.75" thickBot="1" x14ac:dyDescent="0.3">
      <c r="A106" s="1" t="s">
        <v>124</v>
      </c>
      <c r="B106" s="2">
        <v>45504</v>
      </c>
      <c r="C106" s="2" t="str">
        <f xml:space="preserve"> TEXT(Table1[[#This Row],[Date]], "MMM")</f>
        <v>Jul</v>
      </c>
      <c r="D106" s="2" t="str">
        <f>TEXT(Table1[[#This Row],[Date]], "YYYY")</f>
        <v>2024</v>
      </c>
      <c r="E106" s="1" t="s">
        <v>18</v>
      </c>
      <c r="F106" s="1" t="s">
        <v>10</v>
      </c>
      <c r="G106" s="1" t="s">
        <v>11</v>
      </c>
      <c r="H106" s="3">
        <v>1840.93</v>
      </c>
      <c r="I106" s="3">
        <v>4</v>
      </c>
      <c r="J106" s="3">
        <v>382.73</v>
      </c>
    </row>
    <row r="107" spans="1:10" ht="30.75" thickBot="1" x14ac:dyDescent="0.3">
      <c r="A107" s="1" t="s">
        <v>125</v>
      </c>
      <c r="B107" s="2">
        <v>45547</v>
      </c>
      <c r="C107" s="2" t="str">
        <f xml:space="preserve"> TEXT(Table1[[#This Row],[Date]], "MMM")</f>
        <v>Sep</v>
      </c>
      <c r="D107" s="2" t="str">
        <f>TEXT(Table1[[#This Row],[Date]], "YYYY")</f>
        <v>2024</v>
      </c>
      <c r="E107" s="1" t="s">
        <v>23</v>
      </c>
      <c r="F107" s="1" t="s">
        <v>16</v>
      </c>
      <c r="G107" s="1" t="s">
        <v>19</v>
      </c>
      <c r="H107" s="3">
        <v>10706.26</v>
      </c>
      <c r="I107" s="3">
        <v>10</v>
      </c>
      <c r="J107" s="3">
        <v>771.71</v>
      </c>
    </row>
    <row r="108" spans="1:10" ht="30.75" thickBot="1" x14ac:dyDescent="0.3">
      <c r="A108" s="1" t="s">
        <v>126</v>
      </c>
      <c r="B108" s="2">
        <v>45037</v>
      </c>
      <c r="C108" s="2" t="str">
        <f xml:space="preserve"> TEXT(Table1[[#This Row],[Date]], "MMM")</f>
        <v>Apr</v>
      </c>
      <c r="D108" s="2" t="str">
        <f>TEXT(Table1[[#This Row],[Date]], "YYYY")</f>
        <v>2023</v>
      </c>
      <c r="E108" s="1" t="s">
        <v>15</v>
      </c>
      <c r="F108" s="1" t="s">
        <v>16</v>
      </c>
      <c r="G108" s="1" t="s">
        <v>26</v>
      </c>
      <c r="H108" s="3">
        <v>490.28</v>
      </c>
      <c r="I108" s="3">
        <v>10</v>
      </c>
      <c r="J108" s="3">
        <v>40.03</v>
      </c>
    </row>
    <row r="109" spans="1:10" ht="30.75" thickBot="1" x14ac:dyDescent="0.3">
      <c r="A109" s="1" t="s">
        <v>127</v>
      </c>
      <c r="B109" s="2">
        <v>45333</v>
      </c>
      <c r="C109" s="2" t="str">
        <f xml:space="preserve"> TEXT(Table1[[#This Row],[Date]], "MMM")</f>
        <v>Feb</v>
      </c>
      <c r="D109" s="2" t="str">
        <f>TEXT(Table1[[#This Row],[Date]], "YYYY")</f>
        <v>2024</v>
      </c>
      <c r="E109" s="1" t="s">
        <v>9</v>
      </c>
      <c r="F109" s="1" t="s">
        <v>10</v>
      </c>
      <c r="G109" s="1" t="s">
        <v>21</v>
      </c>
      <c r="H109" s="3">
        <v>436.44</v>
      </c>
      <c r="I109" s="3">
        <v>4</v>
      </c>
      <c r="J109" s="3">
        <v>79.28</v>
      </c>
    </row>
    <row r="110" spans="1:10" ht="30.75" thickBot="1" x14ac:dyDescent="0.3">
      <c r="A110" s="1" t="s">
        <v>128</v>
      </c>
      <c r="B110" s="2">
        <v>45031</v>
      </c>
      <c r="C110" s="2" t="str">
        <f xml:space="preserve"> TEXT(Table1[[#This Row],[Date]], "MMM")</f>
        <v>Apr</v>
      </c>
      <c r="D110" s="2" t="str">
        <f>TEXT(Table1[[#This Row],[Date]], "YYYY")</f>
        <v>2023</v>
      </c>
      <c r="E110" s="1" t="s">
        <v>9</v>
      </c>
      <c r="F110" s="1" t="s">
        <v>10</v>
      </c>
      <c r="G110" s="1" t="s">
        <v>19</v>
      </c>
      <c r="H110" s="3">
        <v>4578.2</v>
      </c>
      <c r="I110" s="3">
        <v>5</v>
      </c>
      <c r="J110" s="3">
        <v>683.23</v>
      </c>
    </row>
    <row r="111" spans="1:10" ht="30.75" thickBot="1" x14ac:dyDescent="0.3">
      <c r="A111" s="1" t="s">
        <v>129</v>
      </c>
      <c r="B111" s="2">
        <v>45282</v>
      </c>
      <c r="C111" s="2" t="str">
        <f xml:space="preserve"> TEXT(Table1[[#This Row],[Date]], "MMM")</f>
        <v>Dec</v>
      </c>
      <c r="D111" s="2" t="str">
        <f>TEXT(Table1[[#This Row],[Date]], "YYYY")</f>
        <v>2023</v>
      </c>
      <c r="E111" s="1" t="s">
        <v>13</v>
      </c>
      <c r="F111" s="1" t="s">
        <v>10</v>
      </c>
      <c r="G111" s="1" t="s">
        <v>11</v>
      </c>
      <c r="H111" s="3">
        <v>3978.32</v>
      </c>
      <c r="I111" s="3">
        <v>9</v>
      </c>
      <c r="J111" s="3">
        <v>354.13</v>
      </c>
    </row>
    <row r="112" spans="1:10" ht="30.75" thickBot="1" x14ac:dyDescent="0.3">
      <c r="A112" s="1" t="s">
        <v>130</v>
      </c>
      <c r="B112" s="2">
        <v>44939</v>
      </c>
      <c r="C112" s="2" t="str">
        <f xml:space="preserve"> TEXT(Table1[[#This Row],[Date]], "MMM")</f>
        <v>Jan</v>
      </c>
      <c r="D112" s="2" t="str">
        <f>TEXT(Table1[[#This Row],[Date]], "YYYY")</f>
        <v>2023</v>
      </c>
      <c r="E112" s="1" t="s">
        <v>25</v>
      </c>
      <c r="F112" s="1" t="s">
        <v>16</v>
      </c>
      <c r="G112" s="1" t="s">
        <v>26</v>
      </c>
      <c r="H112" s="3">
        <v>5288.39</v>
      </c>
      <c r="I112" s="3">
        <v>7</v>
      </c>
      <c r="J112" s="3">
        <v>661.42</v>
      </c>
    </row>
    <row r="113" spans="1:10" ht="30.75" thickBot="1" x14ac:dyDescent="0.3">
      <c r="A113" s="1" t="s">
        <v>131</v>
      </c>
      <c r="B113" s="2">
        <v>45651</v>
      </c>
      <c r="C113" s="2" t="str">
        <f xml:space="preserve"> TEXT(Table1[[#This Row],[Date]], "MMM")</f>
        <v>Dec</v>
      </c>
      <c r="D113" s="2" t="str">
        <f>TEXT(Table1[[#This Row],[Date]], "YYYY")</f>
        <v>2024</v>
      </c>
      <c r="E113" s="1" t="s">
        <v>23</v>
      </c>
      <c r="F113" s="1" t="s">
        <v>16</v>
      </c>
      <c r="G113" s="1" t="s">
        <v>21</v>
      </c>
      <c r="H113" s="3">
        <v>1503.66</v>
      </c>
      <c r="I113" s="3">
        <v>3</v>
      </c>
      <c r="J113" s="3">
        <v>359.68</v>
      </c>
    </row>
    <row r="114" spans="1:10" ht="30.75" thickBot="1" x14ac:dyDescent="0.3">
      <c r="A114" s="1" t="s">
        <v>132</v>
      </c>
      <c r="B114" s="2">
        <v>45557</v>
      </c>
      <c r="C114" s="2" t="str">
        <f xml:space="preserve"> TEXT(Table1[[#This Row],[Date]], "MMM")</f>
        <v>Sep</v>
      </c>
      <c r="D114" s="2" t="str">
        <f>TEXT(Table1[[#This Row],[Date]], "YYYY")</f>
        <v>2024</v>
      </c>
      <c r="E114" s="1" t="s">
        <v>9</v>
      </c>
      <c r="F114" s="1" t="s">
        <v>10</v>
      </c>
      <c r="G114" s="1" t="s">
        <v>26</v>
      </c>
      <c r="H114" s="3">
        <v>7224.44</v>
      </c>
      <c r="I114" s="3">
        <v>9</v>
      </c>
      <c r="J114" s="3">
        <v>624.22</v>
      </c>
    </row>
    <row r="115" spans="1:10" ht="30.75" thickBot="1" x14ac:dyDescent="0.3">
      <c r="A115" s="1" t="s">
        <v>133</v>
      </c>
      <c r="B115" s="2">
        <v>45257</v>
      </c>
      <c r="C115" s="2" t="str">
        <f xml:space="preserve"> TEXT(Table1[[#This Row],[Date]], "MMM")</f>
        <v>Nov</v>
      </c>
      <c r="D115" s="2" t="str">
        <f>TEXT(Table1[[#This Row],[Date]], "YYYY")</f>
        <v>2023</v>
      </c>
      <c r="E115" s="1" t="s">
        <v>9</v>
      </c>
      <c r="F115" s="1" t="s">
        <v>10</v>
      </c>
      <c r="G115" s="1" t="s">
        <v>26</v>
      </c>
      <c r="H115" s="3">
        <v>3031.69</v>
      </c>
      <c r="I115" s="3">
        <v>4</v>
      </c>
      <c r="J115" s="3">
        <v>667.97</v>
      </c>
    </row>
    <row r="116" spans="1:10" ht="30.75" thickBot="1" x14ac:dyDescent="0.3">
      <c r="A116" s="1" t="s">
        <v>134</v>
      </c>
      <c r="B116" s="2">
        <v>45402</v>
      </c>
      <c r="C116" s="2" t="str">
        <f xml:space="preserve"> TEXT(Table1[[#This Row],[Date]], "MMM")</f>
        <v>Apr</v>
      </c>
      <c r="D116" s="2" t="str">
        <f>TEXT(Table1[[#This Row],[Date]], "YYYY")</f>
        <v>2024</v>
      </c>
      <c r="E116" s="1" t="s">
        <v>18</v>
      </c>
      <c r="F116" s="1" t="s">
        <v>10</v>
      </c>
      <c r="G116" s="1" t="s">
        <v>19</v>
      </c>
      <c r="H116" s="3">
        <v>6208.67</v>
      </c>
      <c r="I116" s="3">
        <v>10</v>
      </c>
      <c r="J116" s="3">
        <v>496.06</v>
      </c>
    </row>
    <row r="117" spans="1:10" ht="30.75" thickBot="1" x14ac:dyDescent="0.3">
      <c r="A117" s="1" t="s">
        <v>135</v>
      </c>
      <c r="B117" s="2">
        <v>45259</v>
      </c>
      <c r="C117" s="2" t="str">
        <f xml:space="preserve"> TEXT(Table1[[#This Row],[Date]], "MMM")</f>
        <v>Nov</v>
      </c>
      <c r="D117" s="2" t="str">
        <f>TEXT(Table1[[#This Row],[Date]], "YYYY")</f>
        <v>2023</v>
      </c>
      <c r="E117" s="1" t="s">
        <v>13</v>
      </c>
      <c r="F117" s="1" t="s">
        <v>10</v>
      </c>
      <c r="G117" s="1" t="s">
        <v>21</v>
      </c>
      <c r="H117" s="3">
        <v>1491.4</v>
      </c>
      <c r="I117" s="3">
        <v>3</v>
      </c>
      <c r="J117" s="3">
        <v>400.29</v>
      </c>
    </row>
    <row r="118" spans="1:10" ht="30.75" thickBot="1" x14ac:dyDescent="0.3">
      <c r="A118" s="1" t="s">
        <v>136</v>
      </c>
      <c r="B118" s="2">
        <v>45213</v>
      </c>
      <c r="C118" s="2" t="str">
        <f xml:space="preserve"> TEXT(Table1[[#This Row],[Date]], "MMM")</f>
        <v>Oct</v>
      </c>
      <c r="D118" s="2" t="str">
        <f>TEXT(Table1[[#This Row],[Date]], "YYYY")</f>
        <v>2023</v>
      </c>
      <c r="E118" s="1" t="s">
        <v>23</v>
      </c>
      <c r="F118" s="1" t="s">
        <v>16</v>
      </c>
      <c r="G118" s="1" t="s">
        <v>26</v>
      </c>
      <c r="H118" s="3">
        <v>6862.61</v>
      </c>
      <c r="I118" s="3">
        <v>10</v>
      </c>
      <c r="J118" s="3">
        <v>566.91999999999996</v>
      </c>
    </row>
    <row r="119" spans="1:10" ht="30.75" thickBot="1" x14ac:dyDescent="0.3">
      <c r="A119" s="1" t="s">
        <v>137</v>
      </c>
      <c r="B119" s="2">
        <v>45014</v>
      </c>
      <c r="C119" s="2" t="str">
        <f xml:space="preserve"> TEXT(Table1[[#This Row],[Date]], "MMM")</f>
        <v>Mar</v>
      </c>
      <c r="D119" s="2" t="str">
        <f>TEXT(Table1[[#This Row],[Date]], "YYYY")</f>
        <v>2023</v>
      </c>
      <c r="E119" s="1" t="s">
        <v>13</v>
      </c>
      <c r="F119" s="1" t="s">
        <v>10</v>
      </c>
      <c r="G119" s="1" t="s">
        <v>19</v>
      </c>
      <c r="H119" s="3">
        <v>3014</v>
      </c>
      <c r="I119" s="3">
        <v>4</v>
      </c>
      <c r="J119" s="3">
        <v>581.66</v>
      </c>
    </row>
    <row r="120" spans="1:10" ht="30.75" thickBot="1" x14ac:dyDescent="0.3">
      <c r="A120" s="1" t="s">
        <v>138</v>
      </c>
      <c r="B120" s="2">
        <v>45588</v>
      </c>
      <c r="C120" s="2" t="str">
        <f xml:space="preserve"> TEXT(Table1[[#This Row],[Date]], "MMM")</f>
        <v>Oct</v>
      </c>
      <c r="D120" s="2" t="str">
        <f>TEXT(Table1[[#This Row],[Date]], "YYYY")</f>
        <v>2024</v>
      </c>
      <c r="E120" s="1" t="s">
        <v>15</v>
      </c>
      <c r="F120" s="1" t="s">
        <v>16</v>
      </c>
      <c r="G120" s="1" t="s">
        <v>21</v>
      </c>
      <c r="H120" s="3">
        <v>3272.7</v>
      </c>
      <c r="I120" s="3">
        <v>8</v>
      </c>
      <c r="J120" s="3">
        <v>369.58</v>
      </c>
    </row>
    <row r="121" spans="1:10" ht="30.75" thickBot="1" x14ac:dyDescent="0.3">
      <c r="A121" s="1" t="s">
        <v>139</v>
      </c>
      <c r="B121" s="2">
        <v>45341</v>
      </c>
      <c r="C121" s="2" t="str">
        <f xml:space="preserve"> TEXT(Table1[[#This Row],[Date]], "MMM")</f>
        <v>Feb</v>
      </c>
      <c r="D121" s="2" t="str">
        <f>TEXT(Table1[[#This Row],[Date]], "YYYY")</f>
        <v>2024</v>
      </c>
      <c r="E121" s="1" t="s">
        <v>23</v>
      </c>
      <c r="F121" s="1" t="s">
        <v>16</v>
      </c>
      <c r="G121" s="1" t="s">
        <v>19</v>
      </c>
      <c r="H121" s="3">
        <v>1379.74</v>
      </c>
      <c r="I121" s="3">
        <v>4</v>
      </c>
      <c r="J121" s="3">
        <v>258.83999999999997</v>
      </c>
    </row>
    <row r="122" spans="1:10" ht="30.75" thickBot="1" x14ac:dyDescent="0.3">
      <c r="A122" s="1" t="s">
        <v>140</v>
      </c>
      <c r="B122" s="2">
        <v>45362</v>
      </c>
      <c r="C122" s="2" t="str">
        <f xml:space="preserve"> TEXT(Table1[[#This Row],[Date]], "MMM")</f>
        <v>Mar</v>
      </c>
      <c r="D122" s="2" t="str">
        <f>TEXT(Table1[[#This Row],[Date]], "YYYY")</f>
        <v>2024</v>
      </c>
      <c r="E122" s="1" t="s">
        <v>18</v>
      </c>
      <c r="F122" s="1" t="s">
        <v>10</v>
      </c>
      <c r="G122" s="1" t="s">
        <v>26</v>
      </c>
      <c r="H122" s="3">
        <v>3455.87</v>
      </c>
      <c r="I122" s="3">
        <v>9</v>
      </c>
      <c r="J122" s="3">
        <v>278.02</v>
      </c>
    </row>
    <row r="123" spans="1:10" ht="30.75" thickBot="1" x14ac:dyDescent="0.3">
      <c r="A123" s="1" t="s">
        <v>141</v>
      </c>
      <c r="B123" s="2">
        <v>45184</v>
      </c>
      <c r="C123" s="2" t="str">
        <f xml:space="preserve"> TEXT(Table1[[#This Row],[Date]], "MMM")</f>
        <v>Sep</v>
      </c>
      <c r="D123" s="2" t="str">
        <f>TEXT(Table1[[#This Row],[Date]], "YYYY")</f>
        <v>2023</v>
      </c>
      <c r="E123" s="1" t="s">
        <v>23</v>
      </c>
      <c r="F123" s="1" t="s">
        <v>16</v>
      </c>
      <c r="G123" s="1" t="s">
        <v>26</v>
      </c>
      <c r="H123" s="3">
        <v>537.25</v>
      </c>
      <c r="I123" s="3">
        <v>4</v>
      </c>
      <c r="J123" s="3">
        <v>114.11</v>
      </c>
    </row>
    <row r="124" spans="1:10" ht="30.75" thickBot="1" x14ac:dyDescent="0.3">
      <c r="A124" s="1" t="s">
        <v>142</v>
      </c>
      <c r="B124" s="2">
        <v>45123</v>
      </c>
      <c r="C124" s="2" t="str">
        <f xml:space="preserve"> TEXT(Table1[[#This Row],[Date]], "MMM")</f>
        <v>Jul</v>
      </c>
      <c r="D124" s="2" t="str">
        <f>TEXT(Table1[[#This Row],[Date]], "YYYY")</f>
        <v>2023</v>
      </c>
      <c r="E124" s="1" t="s">
        <v>13</v>
      </c>
      <c r="F124" s="1" t="s">
        <v>10</v>
      </c>
      <c r="G124" s="1" t="s">
        <v>19</v>
      </c>
      <c r="H124" s="3">
        <v>2886.6</v>
      </c>
      <c r="I124" s="3">
        <v>4</v>
      </c>
      <c r="J124" s="3">
        <v>596.11</v>
      </c>
    </row>
    <row r="125" spans="1:10" ht="30.75" thickBot="1" x14ac:dyDescent="0.3">
      <c r="A125" s="1" t="s">
        <v>143</v>
      </c>
      <c r="B125" s="2">
        <v>45029</v>
      </c>
      <c r="C125" s="2" t="str">
        <f xml:space="preserve"> TEXT(Table1[[#This Row],[Date]], "MMM")</f>
        <v>Apr</v>
      </c>
      <c r="D125" s="2" t="str">
        <f>TEXT(Table1[[#This Row],[Date]], "YYYY")</f>
        <v>2023</v>
      </c>
      <c r="E125" s="1" t="s">
        <v>25</v>
      </c>
      <c r="F125" s="1" t="s">
        <v>16</v>
      </c>
      <c r="G125" s="1" t="s">
        <v>26</v>
      </c>
      <c r="H125" s="3">
        <v>1249.68</v>
      </c>
      <c r="I125" s="3">
        <v>4</v>
      </c>
      <c r="J125" s="3">
        <v>251.07</v>
      </c>
    </row>
    <row r="126" spans="1:10" ht="30.75" thickBot="1" x14ac:dyDescent="0.3">
      <c r="A126" s="1" t="s">
        <v>144</v>
      </c>
      <c r="B126" s="2">
        <v>45652</v>
      </c>
      <c r="C126" s="2" t="str">
        <f xml:space="preserve"> TEXT(Table1[[#This Row],[Date]], "MMM")</f>
        <v>Dec</v>
      </c>
      <c r="D126" s="2" t="str">
        <f>TEXT(Table1[[#This Row],[Date]], "YYYY")</f>
        <v>2024</v>
      </c>
      <c r="E126" s="1" t="s">
        <v>23</v>
      </c>
      <c r="F126" s="1" t="s">
        <v>16</v>
      </c>
      <c r="G126" s="1" t="s">
        <v>11</v>
      </c>
      <c r="H126" s="3">
        <v>1194.8800000000001</v>
      </c>
      <c r="I126" s="3">
        <v>9</v>
      </c>
      <c r="J126" s="3">
        <v>118.73</v>
      </c>
    </row>
    <row r="127" spans="1:10" ht="30.75" thickBot="1" x14ac:dyDescent="0.3">
      <c r="A127" s="1" t="s">
        <v>145</v>
      </c>
      <c r="B127" s="2">
        <v>45641</v>
      </c>
      <c r="C127" s="2" t="str">
        <f xml:space="preserve"> TEXT(Table1[[#This Row],[Date]], "MMM")</f>
        <v>Dec</v>
      </c>
      <c r="D127" s="2" t="str">
        <f>TEXT(Table1[[#This Row],[Date]], "YYYY")</f>
        <v>2024</v>
      </c>
      <c r="E127" s="1" t="s">
        <v>13</v>
      </c>
      <c r="F127" s="1" t="s">
        <v>10</v>
      </c>
      <c r="G127" s="1" t="s">
        <v>26</v>
      </c>
      <c r="H127" s="3">
        <v>2175.4</v>
      </c>
      <c r="I127" s="3">
        <v>3</v>
      </c>
      <c r="J127" s="3">
        <v>517.54</v>
      </c>
    </row>
    <row r="128" spans="1:10" ht="30.75" thickBot="1" x14ac:dyDescent="0.3">
      <c r="A128" s="1" t="s">
        <v>146</v>
      </c>
      <c r="B128" s="2">
        <v>45514</v>
      </c>
      <c r="C128" s="2" t="str">
        <f xml:space="preserve"> TEXT(Table1[[#This Row],[Date]], "MMM")</f>
        <v>Aug</v>
      </c>
      <c r="D128" s="2" t="str">
        <f>TEXT(Table1[[#This Row],[Date]], "YYYY")</f>
        <v>2024</v>
      </c>
      <c r="E128" s="1" t="s">
        <v>13</v>
      </c>
      <c r="F128" s="1" t="s">
        <v>10</v>
      </c>
      <c r="G128" s="1" t="s">
        <v>11</v>
      </c>
      <c r="H128" s="3">
        <v>2463.87</v>
      </c>
      <c r="I128" s="3">
        <v>5</v>
      </c>
      <c r="J128" s="3">
        <v>386.13</v>
      </c>
    </row>
    <row r="129" spans="1:10" ht="30.75" thickBot="1" x14ac:dyDescent="0.3">
      <c r="A129" s="1" t="s">
        <v>147</v>
      </c>
      <c r="B129" s="2">
        <v>45185</v>
      </c>
      <c r="C129" s="2" t="str">
        <f xml:space="preserve"> TEXT(Table1[[#This Row],[Date]], "MMM")</f>
        <v>Sep</v>
      </c>
      <c r="D129" s="2" t="str">
        <f>TEXT(Table1[[#This Row],[Date]], "YYYY")</f>
        <v>2023</v>
      </c>
      <c r="E129" s="1" t="s">
        <v>15</v>
      </c>
      <c r="F129" s="1" t="s">
        <v>16</v>
      </c>
      <c r="G129" s="1" t="s">
        <v>11</v>
      </c>
      <c r="H129" s="3">
        <v>981.9</v>
      </c>
      <c r="I129" s="3">
        <v>8</v>
      </c>
      <c r="J129" s="3">
        <v>108.99</v>
      </c>
    </row>
    <row r="130" spans="1:10" ht="30.75" thickBot="1" x14ac:dyDescent="0.3">
      <c r="A130" s="1" t="s">
        <v>148</v>
      </c>
      <c r="B130" s="2">
        <v>45517</v>
      </c>
      <c r="C130" s="2" t="str">
        <f xml:space="preserve"> TEXT(Table1[[#This Row],[Date]], "MMM")</f>
        <v>Aug</v>
      </c>
      <c r="D130" s="2" t="str">
        <f>TEXT(Table1[[#This Row],[Date]], "YYYY")</f>
        <v>2024</v>
      </c>
      <c r="E130" s="1" t="s">
        <v>18</v>
      </c>
      <c r="F130" s="1" t="s">
        <v>10</v>
      </c>
      <c r="G130" s="1" t="s">
        <v>11</v>
      </c>
      <c r="H130" s="3">
        <v>197.07</v>
      </c>
      <c r="I130" s="3">
        <v>1</v>
      </c>
      <c r="J130" s="3">
        <v>138.35</v>
      </c>
    </row>
    <row r="131" spans="1:10" ht="30.75" thickBot="1" x14ac:dyDescent="0.3">
      <c r="A131" s="1" t="s">
        <v>149</v>
      </c>
      <c r="B131" s="2">
        <v>45181</v>
      </c>
      <c r="C131" s="2" t="str">
        <f xml:space="preserve"> TEXT(Table1[[#This Row],[Date]], "MMM")</f>
        <v>Sep</v>
      </c>
      <c r="D131" s="2" t="str">
        <f>TEXT(Table1[[#This Row],[Date]], "YYYY")</f>
        <v>2023</v>
      </c>
      <c r="E131" s="1" t="s">
        <v>23</v>
      </c>
      <c r="F131" s="1" t="s">
        <v>16</v>
      </c>
      <c r="G131" s="1" t="s">
        <v>11</v>
      </c>
      <c r="H131" s="3">
        <v>1153.25</v>
      </c>
      <c r="I131" s="3">
        <v>2</v>
      </c>
      <c r="J131" s="3">
        <v>455.3</v>
      </c>
    </row>
    <row r="132" spans="1:10" ht="30.75" thickBot="1" x14ac:dyDescent="0.3">
      <c r="A132" s="1" t="s">
        <v>150</v>
      </c>
      <c r="B132" s="2">
        <v>45462</v>
      </c>
      <c r="C132" s="2" t="str">
        <f xml:space="preserve"> TEXT(Table1[[#This Row],[Date]], "MMM")</f>
        <v>Jun</v>
      </c>
      <c r="D132" s="2" t="str">
        <f>TEXT(Table1[[#This Row],[Date]], "YYYY")</f>
        <v>2024</v>
      </c>
      <c r="E132" s="1" t="s">
        <v>25</v>
      </c>
      <c r="F132" s="1" t="s">
        <v>16</v>
      </c>
      <c r="G132" s="1" t="s">
        <v>19</v>
      </c>
      <c r="H132" s="3">
        <v>3320.17</v>
      </c>
      <c r="I132" s="3">
        <v>7</v>
      </c>
      <c r="J132" s="3">
        <v>371.4</v>
      </c>
    </row>
    <row r="133" spans="1:10" ht="30.75" thickBot="1" x14ac:dyDescent="0.3">
      <c r="A133" s="1" t="s">
        <v>151</v>
      </c>
      <c r="B133" s="2">
        <v>45239</v>
      </c>
      <c r="C133" s="2" t="str">
        <f xml:space="preserve"> TEXT(Table1[[#This Row],[Date]], "MMM")</f>
        <v>Nov</v>
      </c>
      <c r="D133" s="2" t="str">
        <f>TEXT(Table1[[#This Row],[Date]], "YYYY")</f>
        <v>2023</v>
      </c>
      <c r="E133" s="1" t="s">
        <v>25</v>
      </c>
      <c r="F133" s="1" t="s">
        <v>16</v>
      </c>
      <c r="G133" s="1" t="s">
        <v>21</v>
      </c>
      <c r="H133" s="3">
        <v>6778.39</v>
      </c>
      <c r="I133" s="3">
        <v>10</v>
      </c>
      <c r="J133" s="3">
        <v>504.4</v>
      </c>
    </row>
    <row r="134" spans="1:10" ht="30.75" thickBot="1" x14ac:dyDescent="0.3">
      <c r="A134" s="1" t="s">
        <v>152</v>
      </c>
      <c r="B134" s="2">
        <v>45139</v>
      </c>
      <c r="C134" s="2" t="str">
        <f xml:space="preserve"> TEXT(Table1[[#This Row],[Date]], "MMM")</f>
        <v>Aug</v>
      </c>
      <c r="D134" s="2" t="str">
        <f>TEXT(Table1[[#This Row],[Date]], "YYYY")</f>
        <v>2023</v>
      </c>
      <c r="E134" s="1" t="s">
        <v>9</v>
      </c>
      <c r="F134" s="1" t="s">
        <v>10</v>
      </c>
      <c r="G134" s="1" t="s">
        <v>11</v>
      </c>
      <c r="H134" s="3">
        <v>1025.6600000000001</v>
      </c>
      <c r="I134" s="3">
        <v>4</v>
      </c>
      <c r="J134" s="3">
        <v>226.42</v>
      </c>
    </row>
    <row r="135" spans="1:10" ht="30.75" thickBot="1" x14ac:dyDescent="0.3">
      <c r="A135" s="1" t="s">
        <v>153</v>
      </c>
      <c r="B135" s="2">
        <v>45492</v>
      </c>
      <c r="C135" s="2" t="str">
        <f xml:space="preserve"> TEXT(Table1[[#This Row],[Date]], "MMM")</f>
        <v>Jul</v>
      </c>
      <c r="D135" s="2" t="str">
        <f>TEXT(Table1[[#This Row],[Date]], "YYYY")</f>
        <v>2024</v>
      </c>
      <c r="E135" s="1" t="s">
        <v>15</v>
      </c>
      <c r="F135" s="1" t="s">
        <v>16</v>
      </c>
      <c r="G135" s="1" t="s">
        <v>19</v>
      </c>
      <c r="H135" s="3">
        <v>359.06</v>
      </c>
      <c r="I135" s="3">
        <v>2</v>
      </c>
      <c r="J135" s="3">
        <v>142.1</v>
      </c>
    </row>
    <row r="136" spans="1:10" ht="30.75" thickBot="1" x14ac:dyDescent="0.3">
      <c r="A136" s="1" t="s">
        <v>154</v>
      </c>
      <c r="B136" s="2">
        <v>45225</v>
      </c>
      <c r="C136" s="2" t="str">
        <f xml:space="preserve"> TEXT(Table1[[#This Row],[Date]], "MMM")</f>
        <v>Oct</v>
      </c>
      <c r="D136" s="2" t="str">
        <f>TEXT(Table1[[#This Row],[Date]], "YYYY")</f>
        <v>2023</v>
      </c>
      <c r="E136" s="1" t="s">
        <v>9</v>
      </c>
      <c r="F136" s="1" t="s">
        <v>10</v>
      </c>
      <c r="G136" s="1" t="s">
        <v>21</v>
      </c>
      <c r="H136" s="3">
        <v>277.32</v>
      </c>
      <c r="I136" s="3">
        <v>1</v>
      </c>
      <c r="J136" s="3">
        <v>200.55</v>
      </c>
    </row>
    <row r="137" spans="1:10" ht="30.75" thickBot="1" x14ac:dyDescent="0.3">
      <c r="A137" s="1" t="s">
        <v>155</v>
      </c>
      <c r="B137" s="2">
        <v>44999</v>
      </c>
      <c r="C137" s="2" t="str">
        <f xml:space="preserve"> TEXT(Table1[[#This Row],[Date]], "MMM")</f>
        <v>Mar</v>
      </c>
      <c r="D137" s="2" t="str">
        <f>TEXT(Table1[[#This Row],[Date]], "YYYY")</f>
        <v>2023</v>
      </c>
      <c r="E137" s="1" t="s">
        <v>9</v>
      </c>
      <c r="F137" s="1" t="s">
        <v>10</v>
      </c>
      <c r="G137" s="1" t="s">
        <v>21</v>
      </c>
      <c r="H137" s="3">
        <v>4192.47</v>
      </c>
      <c r="I137" s="3">
        <v>4</v>
      </c>
      <c r="J137" s="3">
        <v>740.65</v>
      </c>
    </row>
    <row r="138" spans="1:10" ht="30.75" thickBot="1" x14ac:dyDescent="0.3">
      <c r="A138" s="1" t="s">
        <v>156</v>
      </c>
      <c r="B138" s="2">
        <v>45362</v>
      </c>
      <c r="C138" s="2" t="str">
        <f xml:space="preserve"> TEXT(Table1[[#This Row],[Date]], "MMM")</f>
        <v>Mar</v>
      </c>
      <c r="D138" s="2" t="str">
        <f>TEXT(Table1[[#This Row],[Date]], "YYYY")</f>
        <v>2024</v>
      </c>
      <c r="E138" s="1" t="s">
        <v>9</v>
      </c>
      <c r="F138" s="1" t="s">
        <v>10</v>
      </c>
      <c r="G138" s="1" t="s">
        <v>19</v>
      </c>
      <c r="H138" s="3">
        <v>1208.9100000000001</v>
      </c>
      <c r="I138" s="3">
        <v>2</v>
      </c>
      <c r="J138" s="3">
        <v>444.76</v>
      </c>
    </row>
    <row r="139" spans="1:10" ht="30.75" thickBot="1" x14ac:dyDescent="0.3">
      <c r="A139" s="1" t="s">
        <v>157</v>
      </c>
      <c r="B139" s="2">
        <v>45000</v>
      </c>
      <c r="C139" s="2" t="str">
        <f xml:space="preserve"> TEXT(Table1[[#This Row],[Date]], "MMM")</f>
        <v>Mar</v>
      </c>
      <c r="D139" s="2" t="str">
        <f>TEXT(Table1[[#This Row],[Date]], "YYYY")</f>
        <v>2023</v>
      </c>
      <c r="E139" s="1" t="s">
        <v>23</v>
      </c>
      <c r="F139" s="1" t="s">
        <v>16</v>
      </c>
      <c r="G139" s="1" t="s">
        <v>19</v>
      </c>
      <c r="H139" s="3">
        <v>182.75</v>
      </c>
      <c r="I139" s="3">
        <v>1</v>
      </c>
      <c r="J139" s="3">
        <v>149.41999999999999</v>
      </c>
    </row>
    <row r="140" spans="1:10" ht="30.75" thickBot="1" x14ac:dyDescent="0.3">
      <c r="A140" s="1" t="s">
        <v>158</v>
      </c>
      <c r="B140" s="2">
        <v>45376</v>
      </c>
      <c r="C140" s="2" t="str">
        <f xml:space="preserve"> TEXT(Table1[[#This Row],[Date]], "MMM")</f>
        <v>Mar</v>
      </c>
      <c r="D140" s="2" t="str">
        <f>TEXT(Table1[[#This Row],[Date]], "YYYY")</f>
        <v>2024</v>
      </c>
      <c r="E140" s="1" t="s">
        <v>9</v>
      </c>
      <c r="F140" s="1" t="s">
        <v>10</v>
      </c>
      <c r="G140" s="1" t="s">
        <v>26</v>
      </c>
      <c r="H140" s="3">
        <v>942.08</v>
      </c>
      <c r="I140" s="3">
        <v>2</v>
      </c>
      <c r="J140" s="3">
        <v>385.58</v>
      </c>
    </row>
    <row r="141" spans="1:10" ht="30.75" thickBot="1" x14ac:dyDescent="0.3">
      <c r="A141" s="1" t="s">
        <v>159</v>
      </c>
      <c r="B141" s="2">
        <v>45439</v>
      </c>
      <c r="C141" s="2" t="str">
        <f xml:space="preserve"> TEXT(Table1[[#This Row],[Date]], "MMM")</f>
        <v>May</v>
      </c>
      <c r="D141" s="2" t="str">
        <f>TEXT(Table1[[#This Row],[Date]], "YYYY")</f>
        <v>2024</v>
      </c>
      <c r="E141" s="1" t="s">
        <v>18</v>
      </c>
      <c r="F141" s="1" t="s">
        <v>10</v>
      </c>
      <c r="G141" s="1" t="s">
        <v>26</v>
      </c>
      <c r="H141" s="3">
        <v>4128.41</v>
      </c>
      <c r="I141" s="3">
        <v>9</v>
      </c>
      <c r="J141" s="3">
        <v>405.16</v>
      </c>
    </row>
    <row r="142" spans="1:10" ht="30.75" thickBot="1" x14ac:dyDescent="0.3">
      <c r="A142" s="1" t="s">
        <v>160</v>
      </c>
      <c r="B142" s="2">
        <v>45257</v>
      </c>
      <c r="C142" s="2" t="str">
        <f xml:space="preserve"> TEXT(Table1[[#This Row],[Date]], "MMM")</f>
        <v>Nov</v>
      </c>
      <c r="D142" s="2" t="str">
        <f>TEXT(Table1[[#This Row],[Date]], "YYYY")</f>
        <v>2023</v>
      </c>
      <c r="E142" s="1" t="s">
        <v>13</v>
      </c>
      <c r="F142" s="1" t="s">
        <v>10</v>
      </c>
      <c r="G142" s="1" t="s">
        <v>21</v>
      </c>
      <c r="H142" s="3">
        <v>2446.84</v>
      </c>
      <c r="I142" s="3">
        <v>10</v>
      </c>
      <c r="J142" s="3">
        <v>215.29</v>
      </c>
    </row>
    <row r="143" spans="1:10" ht="30.75" thickBot="1" x14ac:dyDescent="0.3">
      <c r="A143" s="1" t="s">
        <v>161</v>
      </c>
      <c r="B143" s="2">
        <v>45615</v>
      </c>
      <c r="C143" s="2" t="str">
        <f xml:space="preserve"> TEXT(Table1[[#This Row],[Date]], "MMM")</f>
        <v>Nov</v>
      </c>
      <c r="D143" s="2" t="str">
        <f>TEXT(Table1[[#This Row],[Date]], "YYYY")</f>
        <v>2024</v>
      </c>
      <c r="E143" s="1" t="s">
        <v>9</v>
      </c>
      <c r="F143" s="1" t="s">
        <v>10</v>
      </c>
      <c r="G143" s="1" t="s">
        <v>11</v>
      </c>
      <c r="H143" s="3">
        <v>3298.6</v>
      </c>
      <c r="I143" s="3">
        <v>5</v>
      </c>
      <c r="J143" s="3">
        <v>469.47</v>
      </c>
    </row>
    <row r="144" spans="1:10" ht="30.75" thickBot="1" x14ac:dyDescent="0.3">
      <c r="A144" s="1" t="s">
        <v>162</v>
      </c>
      <c r="B144" s="2">
        <v>45458</v>
      </c>
      <c r="C144" s="2" t="str">
        <f xml:space="preserve"> TEXT(Table1[[#This Row],[Date]], "MMM")</f>
        <v>Jun</v>
      </c>
      <c r="D144" s="2" t="str">
        <f>TEXT(Table1[[#This Row],[Date]], "YYYY")</f>
        <v>2024</v>
      </c>
      <c r="E144" s="1" t="s">
        <v>15</v>
      </c>
      <c r="F144" s="1" t="s">
        <v>16</v>
      </c>
      <c r="G144" s="1" t="s">
        <v>21</v>
      </c>
      <c r="H144" s="3">
        <v>6890.55</v>
      </c>
      <c r="I144" s="3">
        <v>8</v>
      </c>
      <c r="J144" s="3">
        <v>734.54</v>
      </c>
    </row>
    <row r="145" spans="1:10" ht="30.75" thickBot="1" x14ac:dyDescent="0.3">
      <c r="A145" s="1" t="s">
        <v>163</v>
      </c>
      <c r="B145" s="2">
        <v>45577</v>
      </c>
      <c r="C145" s="2" t="str">
        <f xml:space="preserve"> TEXT(Table1[[#This Row],[Date]], "MMM")</f>
        <v>Oct</v>
      </c>
      <c r="D145" s="2" t="str">
        <f>TEXT(Table1[[#This Row],[Date]], "YYYY")</f>
        <v>2024</v>
      </c>
      <c r="E145" s="1" t="s">
        <v>25</v>
      </c>
      <c r="F145" s="1" t="s">
        <v>16</v>
      </c>
      <c r="G145" s="1" t="s">
        <v>21</v>
      </c>
      <c r="H145" s="3">
        <v>7994.49</v>
      </c>
      <c r="I145" s="3">
        <v>8</v>
      </c>
      <c r="J145" s="3">
        <v>775.86</v>
      </c>
    </row>
    <row r="146" spans="1:10" ht="30.75" thickBot="1" x14ac:dyDescent="0.3">
      <c r="A146" s="1" t="s">
        <v>164</v>
      </c>
      <c r="B146" s="2">
        <v>45255</v>
      </c>
      <c r="C146" s="2" t="str">
        <f xml:space="preserve"> TEXT(Table1[[#This Row],[Date]], "MMM")</f>
        <v>Nov</v>
      </c>
      <c r="D146" s="2" t="str">
        <f>TEXT(Table1[[#This Row],[Date]], "YYYY")</f>
        <v>2023</v>
      </c>
      <c r="E146" s="1" t="s">
        <v>18</v>
      </c>
      <c r="F146" s="1" t="s">
        <v>10</v>
      </c>
      <c r="G146" s="1" t="s">
        <v>26</v>
      </c>
      <c r="H146" s="3">
        <v>1697.66</v>
      </c>
      <c r="I146" s="3">
        <v>2</v>
      </c>
      <c r="J146" s="3">
        <v>689.03</v>
      </c>
    </row>
    <row r="147" spans="1:10" ht="30.75" thickBot="1" x14ac:dyDescent="0.3">
      <c r="A147" s="1" t="s">
        <v>165</v>
      </c>
      <c r="B147" s="2">
        <v>45222</v>
      </c>
      <c r="C147" s="2" t="str">
        <f xml:space="preserve"> TEXT(Table1[[#This Row],[Date]], "MMM")</f>
        <v>Oct</v>
      </c>
      <c r="D147" s="2" t="str">
        <f>TEXT(Table1[[#This Row],[Date]], "YYYY")</f>
        <v>2023</v>
      </c>
      <c r="E147" s="1" t="s">
        <v>9</v>
      </c>
      <c r="F147" s="1" t="s">
        <v>10</v>
      </c>
      <c r="G147" s="1" t="s">
        <v>21</v>
      </c>
      <c r="H147" s="3">
        <v>6048.5</v>
      </c>
      <c r="I147" s="3">
        <v>7</v>
      </c>
      <c r="J147" s="3">
        <v>654.58000000000004</v>
      </c>
    </row>
    <row r="148" spans="1:10" ht="30.75" thickBot="1" x14ac:dyDescent="0.3">
      <c r="A148" s="1" t="s">
        <v>166</v>
      </c>
      <c r="B148" s="2">
        <v>45249</v>
      </c>
      <c r="C148" s="2" t="str">
        <f xml:space="preserve"> TEXT(Table1[[#This Row],[Date]], "MMM")</f>
        <v>Nov</v>
      </c>
      <c r="D148" s="2" t="str">
        <f>TEXT(Table1[[#This Row],[Date]], "YYYY")</f>
        <v>2023</v>
      </c>
      <c r="E148" s="1" t="s">
        <v>18</v>
      </c>
      <c r="F148" s="1" t="s">
        <v>10</v>
      </c>
      <c r="G148" s="1" t="s">
        <v>11</v>
      </c>
      <c r="H148" s="3">
        <v>2024.9</v>
      </c>
      <c r="I148" s="3">
        <v>5</v>
      </c>
      <c r="J148" s="3">
        <v>272.14999999999998</v>
      </c>
    </row>
    <row r="149" spans="1:10" ht="30.75" thickBot="1" x14ac:dyDescent="0.3">
      <c r="A149" s="1" t="s">
        <v>167</v>
      </c>
      <c r="B149" s="2">
        <v>45600</v>
      </c>
      <c r="C149" s="2" t="str">
        <f xml:space="preserve"> TEXT(Table1[[#This Row],[Date]], "MMM")</f>
        <v>Nov</v>
      </c>
      <c r="D149" s="2" t="str">
        <f>TEXT(Table1[[#This Row],[Date]], "YYYY")</f>
        <v>2024</v>
      </c>
      <c r="E149" s="1" t="s">
        <v>18</v>
      </c>
      <c r="F149" s="1" t="s">
        <v>10</v>
      </c>
      <c r="G149" s="1" t="s">
        <v>11</v>
      </c>
      <c r="H149" s="3">
        <v>3839.58</v>
      </c>
      <c r="I149" s="3">
        <v>9</v>
      </c>
      <c r="J149" s="3">
        <v>380.34</v>
      </c>
    </row>
    <row r="150" spans="1:10" ht="30.75" thickBot="1" x14ac:dyDescent="0.3">
      <c r="A150" s="1" t="s">
        <v>168</v>
      </c>
      <c r="B150" s="2">
        <v>45564</v>
      </c>
      <c r="C150" s="2" t="str">
        <f xml:space="preserve"> TEXT(Table1[[#This Row],[Date]], "MMM")</f>
        <v>Sep</v>
      </c>
      <c r="D150" s="2" t="str">
        <f>TEXT(Table1[[#This Row],[Date]], "YYYY")</f>
        <v>2024</v>
      </c>
      <c r="E150" s="1" t="s">
        <v>25</v>
      </c>
      <c r="F150" s="1" t="s">
        <v>16</v>
      </c>
      <c r="G150" s="1" t="s">
        <v>26</v>
      </c>
      <c r="H150" s="3">
        <v>5703.82</v>
      </c>
      <c r="I150" s="3">
        <v>8</v>
      </c>
      <c r="J150" s="3">
        <v>507.82</v>
      </c>
    </row>
    <row r="151" spans="1:10" ht="30.75" thickBot="1" x14ac:dyDescent="0.3">
      <c r="A151" s="1" t="s">
        <v>169</v>
      </c>
      <c r="B151" s="2">
        <v>45489</v>
      </c>
      <c r="C151" s="2" t="str">
        <f xml:space="preserve"> TEXT(Table1[[#This Row],[Date]], "MMM")</f>
        <v>Jul</v>
      </c>
      <c r="D151" s="2" t="str">
        <f>TEXT(Table1[[#This Row],[Date]], "YYYY")</f>
        <v>2024</v>
      </c>
      <c r="E151" s="1" t="s">
        <v>15</v>
      </c>
      <c r="F151" s="1" t="s">
        <v>16</v>
      </c>
      <c r="G151" s="1" t="s">
        <v>26</v>
      </c>
      <c r="H151" s="3">
        <v>2844.74</v>
      </c>
      <c r="I151" s="3">
        <v>3</v>
      </c>
      <c r="J151" s="3">
        <v>743.58</v>
      </c>
    </row>
    <row r="152" spans="1:10" ht="30.75" thickBot="1" x14ac:dyDescent="0.3">
      <c r="A152" s="1" t="s">
        <v>170</v>
      </c>
      <c r="B152" s="2">
        <v>45051</v>
      </c>
      <c r="C152" s="2" t="str">
        <f xml:space="preserve"> TEXT(Table1[[#This Row],[Date]], "MMM")</f>
        <v>May</v>
      </c>
      <c r="D152" s="2" t="str">
        <f>TEXT(Table1[[#This Row],[Date]], "YYYY")</f>
        <v>2023</v>
      </c>
      <c r="E152" s="1" t="s">
        <v>9</v>
      </c>
      <c r="F152" s="1" t="s">
        <v>10</v>
      </c>
      <c r="G152" s="1" t="s">
        <v>21</v>
      </c>
      <c r="H152" s="3">
        <v>1046.69</v>
      </c>
      <c r="I152" s="3">
        <v>1</v>
      </c>
      <c r="J152" s="3">
        <v>779.05</v>
      </c>
    </row>
    <row r="153" spans="1:10" ht="30.75" thickBot="1" x14ac:dyDescent="0.3">
      <c r="A153" s="1" t="s">
        <v>171</v>
      </c>
      <c r="B153" s="2">
        <v>45245</v>
      </c>
      <c r="C153" s="2" t="str">
        <f xml:space="preserve"> TEXT(Table1[[#This Row],[Date]], "MMM")</f>
        <v>Nov</v>
      </c>
      <c r="D153" s="2" t="str">
        <f>TEXT(Table1[[#This Row],[Date]], "YYYY")</f>
        <v>2023</v>
      </c>
      <c r="E153" s="1" t="s">
        <v>15</v>
      </c>
      <c r="F153" s="1" t="s">
        <v>16</v>
      </c>
      <c r="G153" s="1" t="s">
        <v>19</v>
      </c>
      <c r="H153" s="3">
        <v>348.68</v>
      </c>
      <c r="I153" s="3">
        <v>9</v>
      </c>
      <c r="J153" s="3">
        <v>30.67</v>
      </c>
    </row>
    <row r="154" spans="1:10" ht="30.75" thickBot="1" x14ac:dyDescent="0.3">
      <c r="A154" s="1" t="s">
        <v>172</v>
      </c>
      <c r="B154" s="2">
        <v>45399</v>
      </c>
      <c r="C154" s="2" t="str">
        <f xml:space="preserve"> TEXT(Table1[[#This Row],[Date]], "MMM")</f>
        <v>Apr</v>
      </c>
      <c r="D154" s="2" t="str">
        <f>TEXT(Table1[[#This Row],[Date]], "YYYY")</f>
        <v>2024</v>
      </c>
      <c r="E154" s="1" t="s">
        <v>15</v>
      </c>
      <c r="F154" s="1" t="s">
        <v>16</v>
      </c>
      <c r="G154" s="1" t="s">
        <v>11</v>
      </c>
      <c r="H154" s="3">
        <v>1220.1600000000001</v>
      </c>
      <c r="I154" s="3">
        <v>2</v>
      </c>
      <c r="J154" s="3">
        <v>525.21</v>
      </c>
    </row>
    <row r="155" spans="1:10" ht="30.75" thickBot="1" x14ac:dyDescent="0.3">
      <c r="A155" s="1" t="s">
        <v>173</v>
      </c>
      <c r="B155" s="2">
        <v>45448</v>
      </c>
      <c r="C155" s="2" t="str">
        <f xml:space="preserve"> TEXT(Table1[[#This Row],[Date]], "MMM")</f>
        <v>Jun</v>
      </c>
      <c r="D155" s="2" t="str">
        <f>TEXT(Table1[[#This Row],[Date]], "YYYY")</f>
        <v>2024</v>
      </c>
      <c r="E155" s="1" t="s">
        <v>9</v>
      </c>
      <c r="F155" s="1" t="s">
        <v>10</v>
      </c>
      <c r="G155" s="1" t="s">
        <v>26</v>
      </c>
      <c r="H155" s="3">
        <v>2224.48</v>
      </c>
      <c r="I155" s="3">
        <v>5</v>
      </c>
      <c r="J155" s="3">
        <v>344.08</v>
      </c>
    </row>
    <row r="156" spans="1:10" ht="30.75" thickBot="1" x14ac:dyDescent="0.3">
      <c r="A156" s="1" t="s">
        <v>174</v>
      </c>
      <c r="B156" s="2">
        <v>45394</v>
      </c>
      <c r="C156" s="2" t="str">
        <f xml:space="preserve"> TEXT(Table1[[#This Row],[Date]], "MMM")</f>
        <v>Apr</v>
      </c>
      <c r="D156" s="2" t="str">
        <f>TEXT(Table1[[#This Row],[Date]], "YYYY")</f>
        <v>2024</v>
      </c>
      <c r="E156" s="1" t="s">
        <v>18</v>
      </c>
      <c r="F156" s="1" t="s">
        <v>10</v>
      </c>
      <c r="G156" s="1" t="s">
        <v>19</v>
      </c>
      <c r="H156" s="3">
        <v>1406.06</v>
      </c>
      <c r="I156" s="3">
        <v>9</v>
      </c>
      <c r="J156" s="3">
        <v>132.82</v>
      </c>
    </row>
    <row r="157" spans="1:10" ht="30.75" thickBot="1" x14ac:dyDescent="0.3">
      <c r="A157" s="1" t="s">
        <v>175</v>
      </c>
      <c r="B157" s="2">
        <v>44998</v>
      </c>
      <c r="C157" s="2" t="str">
        <f xml:space="preserve"> TEXT(Table1[[#This Row],[Date]], "MMM")</f>
        <v>Mar</v>
      </c>
      <c r="D157" s="2" t="str">
        <f>TEXT(Table1[[#This Row],[Date]], "YYYY")</f>
        <v>2023</v>
      </c>
      <c r="E157" s="1" t="s">
        <v>25</v>
      </c>
      <c r="F157" s="1" t="s">
        <v>16</v>
      </c>
      <c r="G157" s="1" t="s">
        <v>19</v>
      </c>
      <c r="H157" s="3">
        <v>4488.8599999999997</v>
      </c>
      <c r="I157" s="3">
        <v>5</v>
      </c>
      <c r="J157" s="3">
        <v>622.69000000000005</v>
      </c>
    </row>
    <row r="158" spans="1:10" ht="30.75" thickBot="1" x14ac:dyDescent="0.3">
      <c r="A158" s="1" t="s">
        <v>176</v>
      </c>
      <c r="B158" s="2">
        <v>44929</v>
      </c>
      <c r="C158" s="2" t="str">
        <f xml:space="preserve"> TEXT(Table1[[#This Row],[Date]], "MMM")</f>
        <v>Jan</v>
      </c>
      <c r="D158" s="2" t="str">
        <f>TEXT(Table1[[#This Row],[Date]], "YYYY")</f>
        <v>2023</v>
      </c>
      <c r="E158" s="1" t="s">
        <v>23</v>
      </c>
      <c r="F158" s="1" t="s">
        <v>16</v>
      </c>
      <c r="G158" s="1" t="s">
        <v>26</v>
      </c>
      <c r="H158" s="3">
        <v>4206.82</v>
      </c>
      <c r="I158" s="3">
        <v>5</v>
      </c>
      <c r="J158" s="3">
        <v>586.32000000000005</v>
      </c>
    </row>
    <row r="159" spans="1:10" ht="30.75" thickBot="1" x14ac:dyDescent="0.3">
      <c r="A159" s="1" t="s">
        <v>177</v>
      </c>
      <c r="B159" s="2">
        <v>45079</v>
      </c>
      <c r="C159" s="2" t="str">
        <f xml:space="preserve"> TEXT(Table1[[#This Row],[Date]], "MMM")</f>
        <v>Jun</v>
      </c>
      <c r="D159" s="2" t="str">
        <f>TEXT(Table1[[#This Row],[Date]], "YYYY")</f>
        <v>2023</v>
      </c>
      <c r="E159" s="1" t="s">
        <v>25</v>
      </c>
      <c r="F159" s="1" t="s">
        <v>16</v>
      </c>
      <c r="G159" s="1" t="s">
        <v>21</v>
      </c>
      <c r="H159" s="3">
        <v>4358.83</v>
      </c>
      <c r="I159" s="3">
        <v>8</v>
      </c>
      <c r="J159" s="3">
        <v>440.09</v>
      </c>
    </row>
    <row r="160" spans="1:10" ht="30.75" thickBot="1" x14ac:dyDescent="0.3">
      <c r="A160" s="1" t="s">
        <v>178</v>
      </c>
      <c r="B160" s="2">
        <v>45393</v>
      </c>
      <c r="C160" s="2" t="str">
        <f xml:space="preserve"> TEXT(Table1[[#This Row],[Date]], "MMM")</f>
        <v>Apr</v>
      </c>
      <c r="D160" s="2" t="str">
        <f>TEXT(Table1[[#This Row],[Date]], "YYYY")</f>
        <v>2024</v>
      </c>
      <c r="E160" s="1" t="s">
        <v>25</v>
      </c>
      <c r="F160" s="1" t="s">
        <v>16</v>
      </c>
      <c r="G160" s="1" t="s">
        <v>21</v>
      </c>
      <c r="H160" s="3">
        <v>6252.39</v>
      </c>
      <c r="I160" s="3">
        <v>6</v>
      </c>
      <c r="J160" s="3">
        <v>698.29</v>
      </c>
    </row>
    <row r="161" spans="1:10" ht="30.75" thickBot="1" x14ac:dyDescent="0.3">
      <c r="A161" s="1" t="s">
        <v>179</v>
      </c>
      <c r="B161" s="2">
        <v>45166</v>
      </c>
      <c r="C161" s="2" t="str">
        <f xml:space="preserve"> TEXT(Table1[[#This Row],[Date]], "MMM")</f>
        <v>Aug</v>
      </c>
      <c r="D161" s="2" t="str">
        <f>TEXT(Table1[[#This Row],[Date]], "YYYY")</f>
        <v>2023</v>
      </c>
      <c r="E161" s="1" t="s">
        <v>15</v>
      </c>
      <c r="F161" s="1" t="s">
        <v>16</v>
      </c>
      <c r="G161" s="1" t="s">
        <v>21</v>
      </c>
      <c r="H161" s="3">
        <v>528.79</v>
      </c>
      <c r="I161" s="3">
        <v>7</v>
      </c>
      <c r="J161" s="3">
        <v>54.04</v>
      </c>
    </row>
    <row r="162" spans="1:10" ht="30.75" thickBot="1" x14ac:dyDescent="0.3">
      <c r="A162" s="1" t="s">
        <v>180</v>
      </c>
      <c r="B162" s="2">
        <v>45322</v>
      </c>
      <c r="C162" s="2" t="str">
        <f xml:space="preserve"> TEXT(Table1[[#This Row],[Date]], "MMM")</f>
        <v>Jan</v>
      </c>
      <c r="D162" s="2" t="str">
        <f>TEXT(Table1[[#This Row],[Date]], "YYYY")</f>
        <v>2024</v>
      </c>
      <c r="E162" s="1" t="s">
        <v>9</v>
      </c>
      <c r="F162" s="1" t="s">
        <v>10</v>
      </c>
      <c r="G162" s="1" t="s">
        <v>21</v>
      </c>
      <c r="H162" s="3">
        <v>1359.04</v>
      </c>
      <c r="I162" s="3">
        <v>3</v>
      </c>
      <c r="J162" s="3">
        <v>406.36</v>
      </c>
    </row>
    <row r="163" spans="1:10" ht="30.75" thickBot="1" x14ac:dyDescent="0.3">
      <c r="A163" s="1" t="s">
        <v>181</v>
      </c>
      <c r="B163" s="2">
        <v>45029</v>
      </c>
      <c r="C163" s="2" t="str">
        <f xml:space="preserve"> TEXT(Table1[[#This Row],[Date]], "MMM")</f>
        <v>Apr</v>
      </c>
      <c r="D163" s="2" t="str">
        <f>TEXT(Table1[[#This Row],[Date]], "YYYY")</f>
        <v>2023</v>
      </c>
      <c r="E163" s="1" t="s">
        <v>25</v>
      </c>
      <c r="F163" s="1" t="s">
        <v>16</v>
      </c>
      <c r="G163" s="1" t="s">
        <v>26</v>
      </c>
      <c r="H163" s="3">
        <v>1145.3399999999999</v>
      </c>
      <c r="I163" s="3">
        <v>8</v>
      </c>
      <c r="J163" s="3">
        <v>97.78</v>
      </c>
    </row>
    <row r="164" spans="1:10" ht="30.75" thickBot="1" x14ac:dyDescent="0.3">
      <c r="A164" s="1" t="s">
        <v>182</v>
      </c>
      <c r="B164" s="2">
        <v>45346</v>
      </c>
      <c r="C164" s="2" t="str">
        <f xml:space="preserve"> TEXT(Table1[[#This Row],[Date]], "MMM")</f>
        <v>Feb</v>
      </c>
      <c r="D164" s="2" t="str">
        <f>TEXT(Table1[[#This Row],[Date]], "YYYY")</f>
        <v>2024</v>
      </c>
      <c r="E164" s="1" t="s">
        <v>13</v>
      </c>
      <c r="F164" s="1" t="s">
        <v>10</v>
      </c>
      <c r="G164" s="1" t="s">
        <v>19</v>
      </c>
      <c r="H164" s="3">
        <v>332.12</v>
      </c>
      <c r="I164" s="3">
        <v>3</v>
      </c>
      <c r="J164" s="3">
        <v>78.37</v>
      </c>
    </row>
    <row r="165" spans="1:10" ht="30.75" thickBot="1" x14ac:dyDescent="0.3">
      <c r="A165" s="1" t="s">
        <v>183</v>
      </c>
      <c r="B165" s="2">
        <v>45565</v>
      </c>
      <c r="C165" s="2" t="str">
        <f xml:space="preserve"> TEXT(Table1[[#This Row],[Date]], "MMM")</f>
        <v>Sep</v>
      </c>
      <c r="D165" s="2" t="str">
        <f>TEXT(Table1[[#This Row],[Date]], "YYYY")</f>
        <v>2024</v>
      </c>
      <c r="E165" s="1" t="s">
        <v>23</v>
      </c>
      <c r="F165" s="1" t="s">
        <v>16</v>
      </c>
      <c r="G165" s="1" t="s">
        <v>26</v>
      </c>
      <c r="H165" s="3">
        <v>5313.45</v>
      </c>
      <c r="I165" s="3">
        <v>7</v>
      </c>
      <c r="J165" s="3">
        <v>526.87</v>
      </c>
    </row>
    <row r="166" spans="1:10" ht="30.75" thickBot="1" x14ac:dyDescent="0.3">
      <c r="A166" s="1" t="s">
        <v>184</v>
      </c>
      <c r="B166" s="2">
        <v>45251</v>
      </c>
      <c r="C166" s="2" t="str">
        <f xml:space="preserve"> TEXT(Table1[[#This Row],[Date]], "MMM")</f>
        <v>Nov</v>
      </c>
      <c r="D166" s="2" t="str">
        <f>TEXT(Table1[[#This Row],[Date]], "YYYY")</f>
        <v>2023</v>
      </c>
      <c r="E166" s="1" t="s">
        <v>9</v>
      </c>
      <c r="F166" s="1" t="s">
        <v>10</v>
      </c>
      <c r="G166" s="1" t="s">
        <v>21</v>
      </c>
      <c r="H166" s="3">
        <v>6244.51</v>
      </c>
      <c r="I166" s="3">
        <v>8</v>
      </c>
      <c r="J166" s="3">
        <v>700.46</v>
      </c>
    </row>
    <row r="167" spans="1:10" ht="30.75" thickBot="1" x14ac:dyDescent="0.3">
      <c r="A167" s="1" t="s">
        <v>185</v>
      </c>
      <c r="B167" s="2">
        <v>45573</v>
      </c>
      <c r="C167" s="2" t="str">
        <f xml:space="preserve"> TEXT(Table1[[#This Row],[Date]], "MMM")</f>
        <v>Oct</v>
      </c>
      <c r="D167" s="2" t="str">
        <f>TEXT(Table1[[#This Row],[Date]], "YYYY")</f>
        <v>2024</v>
      </c>
      <c r="E167" s="1" t="s">
        <v>13</v>
      </c>
      <c r="F167" s="1" t="s">
        <v>10</v>
      </c>
      <c r="G167" s="1" t="s">
        <v>19</v>
      </c>
      <c r="H167" s="3">
        <v>5580.77</v>
      </c>
      <c r="I167" s="3">
        <v>5</v>
      </c>
      <c r="J167" s="3">
        <v>797.99</v>
      </c>
    </row>
    <row r="168" spans="1:10" ht="30.75" thickBot="1" x14ac:dyDescent="0.3">
      <c r="A168" s="1" t="s">
        <v>186</v>
      </c>
      <c r="B168" s="2">
        <v>45575</v>
      </c>
      <c r="C168" s="2" t="str">
        <f xml:space="preserve"> TEXT(Table1[[#This Row],[Date]], "MMM")</f>
        <v>Oct</v>
      </c>
      <c r="D168" s="2" t="str">
        <f>TEXT(Table1[[#This Row],[Date]], "YYYY")</f>
        <v>2024</v>
      </c>
      <c r="E168" s="1" t="s">
        <v>18</v>
      </c>
      <c r="F168" s="1" t="s">
        <v>10</v>
      </c>
      <c r="G168" s="1" t="s">
        <v>11</v>
      </c>
      <c r="H168" s="3">
        <v>1008.6</v>
      </c>
      <c r="I168" s="3">
        <v>2</v>
      </c>
      <c r="J168" s="3">
        <v>366.07</v>
      </c>
    </row>
    <row r="169" spans="1:10" ht="30.75" thickBot="1" x14ac:dyDescent="0.3">
      <c r="A169" s="1" t="s">
        <v>187</v>
      </c>
      <c r="B169" s="2">
        <v>45259</v>
      </c>
      <c r="C169" s="2" t="str">
        <f xml:space="preserve"> TEXT(Table1[[#This Row],[Date]], "MMM")</f>
        <v>Nov</v>
      </c>
      <c r="D169" s="2" t="str">
        <f>TEXT(Table1[[#This Row],[Date]], "YYYY")</f>
        <v>2023</v>
      </c>
      <c r="E169" s="1" t="s">
        <v>13</v>
      </c>
      <c r="F169" s="1" t="s">
        <v>10</v>
      </c>
      <c r="G169" s="1" t="s">
        <v>11</v>
      </c>
      <c r="H169" s="3">
        <v>311.02</v>
      </c>
      <c r="I169" s="3">
        <v>1</v>
      </c>
      <c r="J169" s="3">
        <v>248.83</v>
      </c>
    </row>
    <row r="170" spans="1:10" ht="30.75" thickBot="1" x14ac:dyDescent="0.3">
      <c r="A170" s="1" t="s">
        <v>188</v>
      </c>
      <c r="B170" s="2">
        <v>45470</v>
      </c>
      <c r="C170" s="2" t="str">
        <f xml:space="preserve"> TEXT(Table1[[#This Row],[Date]], "MMM")</f>
        <v>Jun</v>
      </c>
      <c r="D170" s="2" t="str">
        <f>TEXT(Table1[[#This Row],[Date]], "YYYY")</f>
        <v>2024</v>
      </c>
      <c r="E170" s="1" t="s">
        <v>15</v>
      </c>
      <c r="F170" s="1" t="s">
        <v>16</v>
      </c>
      <c r="G170" s="1" t="s">
        <v>19</v>
      </c>
      <c r="H170" s="3">
        <v>4576.8500000000004</v>
      </c>
      <c r="I170" s="3">
        <v>7</v>
      </c>
      <c r="J170" s="3">
        <v>461.42</v>
      </c>
    </row>
    <row r="171" spans="1:10" ht="30.75" thickBot="1" x14ac:dyDescent="0.3">
      <c r="A171" s="1" t="s">
        <v>189</v>
      </c>
      <c r="B171" s="2">
        <v>45007</v>
      </c>
      <c r="C171" s="2" t="str">
        <f xml:space="preserve"> TEXT(Table1[[#This Row],[Date]], "MMM")</f>
        <v>Mar</v>
      </c>
      <c r="D171" s="2" t="str">
        <f>TEXT(Table1[[#This Row],[Date]], "YYYY")</f>
        <v>2023</v>
      </c>
      <c r="E171" s="1" t="s">
        <v>15</v>
      </c>
      <c r="F171" s="1" t="s">
        <v>16</v>
      </c>
      <c r="G171" s="1" t="s">
        <v>19</v>
      </c>
      <c r="H171" s="3">
        <v>9425.08</v>
      </c>
      <c r="I171" s="3">
        <v>10</v>
      </c>
      <c r="J171" s="3">
        <v>699.25</v>
      </c>
    </row>
    <row r="172" spans="1:10" ht="30.75" thickBot="1" x14ac:dyDescent="0.3">
      <c r="A172" s="1" t="s">
        <v>190</v>
      </c>
      <c r="B172" s="2">
        <v>45524</v>
      </c>
      <c r="C172" s="2" t="str">
        <f xml:space="preserve"> TEXT(Table1[[#This Row],[Date]], "MMM")</f>
        <v>Aug</v>
      </c>
      <c r="D172" s="2" t="str">
        <f>TEXT(Table1[[#This Row],[Date]], "YYYY")</f>
        <v>2024</v>
      </c>
      <c r="E172" s="1" t="s">
        <v>15</v>
      </c>
      <c r="F172" s="1" t="s">
        <v>16</v>
      </c>
      <c r="G172" s="1" t="s">
        <v>21</v>
      </c>
      <c r="H172" s="3">
        <v>817.61</v>
      </c>
      <c r="I172" s="3">
        <v>3</v>
      </c>
      <c r="J172" s="3">
        <v>201.11</v>
      </c>
    </row>
    <row r="173" spans="1:10" ht="30.75" thickBot="1" x14ac:dyDescent="0.3">
      <c r="A173" s="1" t="s">
        <v>191</v>
      </c>
      <c r="B173" s="2">
        <v>45609</v>
      </c>
      <c r="C173" s="2" t="str">
        <f xml:space="preserve"> TEXT(Table1[[#This Row],[Date]], "MMM")</f>
        <v>Nov</v>
      </c>
      <c r="D173" s="2" t="str">
        <f>TEXT(Table1[[#This Row],[Date]], "YYYY")</f>
        <v>2024</v>
      </c>
      <c r="E173" s="1" t="s">
        <v>18</v>
      </c>
      <c r="F173" s="1" t="s">
        <v>10</v>
      </c>
      <c r="G173" s="1" t="s">
        <v>26</v>
      </c>
      <c r="H173" s="3">
        <v>927.47</v>
      </c>
      <c r="I173" s="3">
        <v>1</v>
      </c>
      <c r="J173" s="3">
        <v>721.15</v>
      </c>
    </row>
    <row r="174" spans="1:10" ht="30.75" thickBot="1" x14ac:dyDescent="0.3">
      <c r="A174" s="1" t="s">
        <v>192</v>
      </c>
      <c r="B174" s="2">
        <v>45002</v>
      </c>
      <c r="C174" s="2" t="str">
        <f xml:space="preserve"> TEXT(Table1[[#This Row],[Date]], "MMM")</f>
        <v>Mar</v>
      </c>
      <c r="D174" s="2" t="str">
        <f>TEXT(Table1[[#This Row],[Date]], "YYYY")</f>
        <v>2023</v>
      </c>
      <c r="E174" s="1" t="s">
        <v>23</v>
      </c>
      <c r="F174" s="1" t="s">
        <v>16</v>
      </c>
      <c r="G174" s="1" t="s">
        <v>19</v>
      </c>
      <c r="H174" s="3">
        <v>9057.44</v>
      </c>
      <c r="I174" s="3">
        <v>8</v>
      </c>
      <c r="J174" s="3">
        <v>757.28</v>
      </c>
    </row>
    <row r="175" spans="1:10" ht="30.75" thickBot="1" x14ac:dyDescent="0.3">
      <c r="A175" s="1" t="s">
        <v>193</v>
      </c>
      <c r="B175" s="2">
        <v>45633</v>
      </c>
      <c r="C175" s="2" t="str">
        <f xml:space="preserve"> TEXT(Table1[[#This Row],[Date]], "MMM")</f>
        <v>Dec</v>
      </c>
      <c r="D175" s="2" t="str">
        <f>TEXT(Table1[[#This Row],[Date]], "YYYY")</f>
        <v>2024</v>
      </c>
      <c r="E175" s="1" t="s">
        <v>23</v>
      </c>
      <c r="F175" s="1" t="s">
        <v>16</v>
      </c>
      <c r="G175" s="1" t="s">
        <v>21</v>
      </c>
      <c r="H175" s="3">
        <v>2297.21</v>
      </c>
      <c r="I175" s="3">
        <v>5</v>
      </c>
      <c r="J175" s="3">
        <v>376.33</v>
      </c>
    </row>
    <row r="176" spans="1:10" ht="30.75" thickBot="1" x14ac:dyDescent="0.3">
      <c r="A176" s="1" t="s">
        <v>194</v>
      </c>
      <c r="B176" s="2">
        <v>45036</v>
      </c>
      <c r="C176" s="2" t="str">
        <f xml:space="preserve"> TEXT(Table1[[#This Row],[Date]], "MMM")</f>
        <v>Apr</v>
      </c>
      <c r="D176" s="2" t="str">
        <f>TEXT(Table1[[#This Row],[Date]], "YYYY")</f>
        <v>2023</v>
      </c>
      <c r="E176" s="1" t="s">
        <v>18</v>
      </c>
      <c r="F176" s="1" t="s">
        <v>10</v>
      </c>
      <c r="G176" s="1" t="s">
        <v>21</v>
      </c>
      <c r="H176" s="3">
        <v>1579.15</v>
      </c>
      <c r="I176" s="3">
        <v>4</v>
      </c>
      <c r="J176" s="3">
        <v>317.45999999999998</v>
      </c>
    </row>
    <row r="177" spans="1:10" ht="30.75" thickBot="1" x14ac:dyDescent="0.3">
      <c r="A177" s="1" t="s">
        <v>195</v>
      </c>
      <c r="B177" s="2">
        <v>44949</v>
      </c>
      <c r="C177" s="2" t="str">
        <f xml:space="preserve"> TEXT(Table1[[#This Row],[Date]], "MMM")</f>
        <v>Jan</v>
      </c>
      <c r="D177" s="2" t="str">
        <f>TEXT(Table1[[#This Row],[Date]], "YYYY")</f>
        <v>2023</v>
      </c>
      <c r="E177" s="1" t="s">
        <v>23</v>
      </c>
      <c r="F177" s="1" t="s">
        <v>16</v>
      </c>
      <c r="G177" s="1" t="s">
        <v>26</v>
      </c>
      <c r="H177" s="3">
        <v>2173.4299999999998</v>
      </c>
      <c r="I177" s="3">
        <v>7</v>
      </c>
      <c r="J177" s="3">
        <v>234.09</v>
      </c>
    </row>
    <row r="178" spans="1:10" ht="30.75" thickBot="1" x14ac:dyDescent="0.3">
      <c r="A178" s="1" t="s">
        <v>196</v>
      </c>
      <c r="B178" s="2">
        <v>45547</v>
      </c>
      <c r="C178" s="2" t="str">
        <f xml:space="preserve"> TEXT(Table1[[#This Row],[Date]], "MMM")</f>
        <v>Sep</v>
      </c>
      <c r="D178" s="2" t="str">
        <f>TEXT(Table1[[#This Row],[Date]], "YYYY")</f>
        <v>2024</v>
      </c>
      <c r="E178" s="1" t="s">
        <v>9</v>
      </c>
      <c r="F178" s="1" t="s">
        <v>10</v>
      </c>
      <c r="G178" s="1" t="s">
        <v>11</v>
      </c>
      <c r="H178" s="3">
        <v>7827.33</v>
      </c>
      <c r="I178" s="3">
        <v>8</v>
      </c>
      <c r="J178" s="3">
        <v>669.61</v>
      </c>
    </row>
    <row r="179" spans="1:10" ht="30.75" thickBot="1" x14ac:dyDescent="0.3">
      <c r="A179" s="1" t="s">
        <v>197</v>
      </c>
      <c r="B179" s="2">
        <v>45151</v>
      </c>
      <c r="C179" s="2" t="str">
        <f xml:space="preserve"> TEXT(Table1[[#This Row],[Date]], "MMM")</f>
        <v>Aug</v>
      </c>
      <c r="D179" s="2" t="str">
        <f>TEXT(Table1[[#This Row],[Date]], "YYYY")</f>
        <v>2023</v>
      </c>
      <c r="E179" s="1" t="s">
        <v>15</v>
      </c>
      <c r="F179" s="1" t="s">
        <v>16</v>
      </c>
      <c r="G179" s="1" t="s">
        <v>26</v>
      </c>
      <c r="H179" s="3">
        <v>2765.79</v>
      </c>
      <c r="I179" s="3">
        <v>4</v>
      </c>
      <c r="J179" s="3">
        <v>504.3</v>
      </c>
    </row>
    <row r="180" spans="1:10" ht="30.75" thickBot="1" x14ac:dyDescent="0.3">
      <c r="A180" s="1" t="s">
        <v>198</v>
      </c>
      <c r="B180" s="2">
        <v>45570</v>
      </c>
      <c r="C180" s="2" t="str">
        <f xml:space="preserve"> TEXT(Table1[[#This Row],[Date]], "MMM")</f>
        <v>Oct</v>
      </c>
      <c r="D180" s="2" t="str">
        <f>TEXT(Table1[[#This Row],[Date]], "YYYY")</f>
        <v>2024</v>
      </c>
      <c r="E180" s="1" t="s">
        <v>9</v>
      </c>
      <c r="F180" s="1" t="s">
        <v>10</v>
      </c>
      <c r="G180" s="1" t="s">
        <v>19</v>
      </c>
      <c r="H180" s="3">
        <v>1968.93</v>
      </c>
      <c r="I180" s="3">
        <v>2</v>
      </c>
      <c r="J180" s="3">
        <v>724.65</v>
      </c>
    </row>
    <row r="181" spans="1:10" ht="30.75" thickBot="1" x14ac:dyDescent="0.3">
      <c r="A181" s="1" t="s">
        <v>199</v>
      </c>
      <c r="B181" s="2">
        <v>44961</v>
      </c>
      <c r="C181" s="2" t="str">
        <f xml:space="preserve"> TEXT(Table1[[#This Row],[Date]], "MMM")</f>
        <v>Feb</v>
      </c>
      <c r="D181" s="2" t="str">
        <f>TEXT(Table1[[#This Row],[Date]], "YYYY")</f>
        <v>2023</v>
      </c>
      <c r="E181" s="1" t="s">
        <v>23</v>
      </c>
      <c r="F181" s="1" t="s">
        <v>16</v>
      </c>
      <c r="G181" s="1" t="s">
        <v>21</v>
      </c>
      <c r="H181" s="3">
        <v>3510.6</v>
      </c>
      <c r="I181" s="3">
        <v>10</v>
      </c>
      <c r="J181" s="3">
        <v>304.58999999999997</v>
      </c>
    </row>
    <row r="182" spans="1:10" ht="30.75" thickBot="1" x14ac:dyDescent="0.3">
      <c r="A182" s="1" t="s">
        <v>200</v>
      </c>
      <c r="B182" s="2">
        <v>45352</v>
      </c>
      <c r="C182" s="2" t="str">
        <f xml:space="preserve"> TEXT(Table1[[#This Row],[Date]], "MMM")</f>
        <v>Mar</v>
      </c>
      <c r="D182" s="2" t="str">
        <f>TEXT(Table1[[#This Row],[Date]], "YYYY")</f>
        <v>2024</v>
      </c>
      <c r="E182" s="1" t="s">
        <v>23</v>
      </c>
      <c r="F182" s="1" t="s">
        <v>16</v>
      </c>
      <c r="G182" s="1" t="s">
        <v>26</v>
      </c>
      <c r="H182" s="3">
        <v>749.54</v>
      </c>
      <c r="I182" s="3">
        <v>3</v>
      </c>
      <c r="J182" s="3">
        <v>176.62</v>
      </c>
    </row>
    <row r="183" spans="1:10" ht="30.75" thickBot="1" x14ac:dyDescent="0.3">
      <c r="A183" s="1" t="s">
        <v>201</v>
      </c>
      <c r="B183" s="2">
        <v>45095</v>
      </c>
      <c r="C183" s="2" t="str">
        <f xml:space="preserve"> TEXT(Table1[[#This Row],[Date]], "MMM")</f>
        <v>Jun</v>
      </c>
      <c r="D183" s="2" t="str">
        <f>TEXT(Table1[[#This Row],[Date]], "YYYY")</f>
        <v>2023</v>
      </c>
      <c r="E183" s="1" t="s">
        <v>23</v>
      </c>
      <c r="F183" s="1" t="s">
        <v>16</v>
      </c>
      <c r="G183" s="1" t="s">
        <v>26</v>
      </c>
      <c r="H183" s="3">
        <v>5415.38</v>
      </c>
      <c r="I183" s="3">
        <v>5</v>
      </c>
      <c r="J183" s="3">
        <v>732.96</v>
      </c>
    </row>
    <row r="184" spans="1:10" ht="30.75" thickBot="1" x14ac:dyDescent="0.3">
      <c r="A184" s="1" t="s">
        <v>202</v>
      </c>
      <c r="B184" s="2">
        <v>45044</v>
      </c>
      <c r="C184" s="2" t="str">
        <f xml:space="preserve"> TEXT(Table1[[#This Row],[Date]], "MMM")</f>
        <v>Apr</v>
      </c>
      <c r="D184" s="2" t="str">
        <f>TEXT(Table1[[#This Row],[Date]], "YYYY")</f>
        <v>2023</v>
      </c>
      <c r="E184" s="1" t="s">
        <v>23</v>
      </c>
      <c r="F184" s="1" t="s">
        <v>16</v>
      </c>
      <c r="G184" s="1" t="s">
        <v>26</v>
      </c>
      <c r="H184" s="3">
        <v>7132.63</v>
      </c>
      <c r="I184" s="3">
        <v>8</v>
      </c>
      <c r="J184" s="3">
        <v>771.06</v>
      </c>
    </row>
    <row r="185" spans="1:10" ht="30.75" thickBot="1" x14ac:dyDescent="0.3">
      <c r="A185" s="1" t="s">
        <v>203</v>
      </c>
      <c r="B185" s="2">
        <v>45497</v>
      </c>
      <c r="C185" s="2" t="str">
        <f xml:space="preserve"> TEXT(Table1[[#This Row],[Date]], "MMM")</f>
        <v>Jul</v>
      </c>
      <c r="D185" s="2" t="str">
        <f>TEXT(Table1[[#This Row],[Date]], "YYYY")</f>
        <v>2024</v>
      </c>
      <c r="E185" s="1" t="s">
        <v>15</v>
      </c>
      <c r="F185" s="1" t="s">
        <v>16</v>
      </c>
      <c r="G185" s="1" t="s">
        <v>21</v>
      </c>
      <c r="H185" s="3">
        <v>682.55</v>
      </c>
      <c r="I185" s="3">
        <v>6</v>
      </c>
      <c r="J185" s="3">
        <v>90.44</v>
      </c>
    </row>
    <row r="186" spans="1:10" ht="30.75" thickBot="1" x14ac:dyDescent="0.3">
      <c r="A186" s="1" t="s">
        <v>204</v>
      </c>
      <c r="B186" s="2">
        <v>45392</v>
      </c>
      <c r="C186" s="2" t="str">
        <f xml:space="preserve"> TEXT(Table1[[#This Row],[Date]], "MMM")</f>
        <v>Apr</v>
      </c>
      <c r="D186" s="2" t="str">
        <f>TEXT(Table1[[#This Row],[Date]], "YYYY")</f>
        <v>2024</v>
      </c>
      <c r="E186" s="1" t="s">
        <v>23</v>
      </c>
      <c r="F186" s="1" t="s">
        <v>16</v>
      </c>
      <c r="G186" s="1" t="s">
        <v>11</v>
      </c>
      <c r="H186" s="3">
        <v>4474.8599999999997</v>
      </c>
      <c r="I186" s="3">
        <v>6</v>
      </c>
      <c r="J186" s="3">
        <v>544.80999999999995</v>
      </c>
    </row>
    <row r="187" spans="1:10" ht="30.75" thickBot="1" x14ac:dyDescent="0.3">
      <c r="A187" s="1" t="s">
        <v>205</v>
      </c>
      <c r="B187" s="2">
        <v>45580</v>
      </c>
      <c r="C187" s="2" t="str">
        <f xml:space="preserve"> TEXT(Table1[[#This Row],[Date]], "MMM")</f>
        <v>Oct</v>
      </c>
      <c r="D187" s="2" t="str">
        <f>TEXT(Table1[[#This Row],[Date]], "YYYY")</f>
        <v>2024</v>
      </c>
      <c r="E187" s="1" t="s">
        <v>25</v>
      </c>
      <c r="F187" s="1" t="s">
        <v>16</v>
      </c>
      <c r="G187" s="1" t="s">
        <v>21</v>
      </c>
      <c r="H187" s="3">
        <v>748.41</v>
      </c>
      <c r="I187" s="3">
        <v>6</v>
      </c>
      <c r="J187" s="3">
        <v>104.51</v>
      </c>
    </row>
    <row r="188" spans="1:10" ht="30.75" thickBot="1" x14ac:dyDescent="0.3">
      <c r="A188" s="1" t="s">
        <v>206</v>
      </c>
      <c r="B188" s="2">
        <v>45551</v>
      </c>
      <c r="C188" s="2" t="str">
        <f xml:space="preserve"> TEXT(Table1[[#This Row],[Date]], "MMM")</f>
        <v>Sep</v>
      </c>
      <c r="D188" s="2" t="str">
        <f>TEXT(Table1[[#This Row],[Date]], "YYYY")</f>
        <v>2024</v>
      </c>
      <c r="E188" s="1" t="s">
        <v>13</v>
      </c>
      <c r="F188" s="1" t="s">
        <v>10</v>
      </c>
      <c r="G188" s="1" t="s">
        <v>26</v>
      </c>
      <c r="H188" s="3">
        <v>2844.66</v>
      </c>
      <c r="I188" s="3">
        <v>4</v>
      </c>
      <c r="J188" s="3">
        <v>525.16999999999996</v>
      </c>
    </row>
    <row r="189" spans="1:10" ht="30.75" thickBot="1" x14ac:dyDescent="0.3">
      <c r="A189" s="1" t="s">
        <v>207</v>
      </c>
      <c r="B189" s="2">
        <v>45591</v>
      </c>
      <c r="C189" s="2" t="str">
        <f xml:space="preserve"> TEXT(Table1[[#This Row],[Date]], "MMM")</f>
        <v>Oct</v>
      </c>
      <c r="D189" s="2" t="str">
        <f>TEXT(Table1[[#This Row],[Date]], "YYYY")</f>
        <v>2024</v>
      </c>
      <c r="E189" s="1" t="s">
        <v>18</v>
      </c>
      <c r="F189" s="1" t="s">
        <v>10</v>
      </c>
      <c r="G189" s="1" t="s">
        <v>26</v>
      </c>
      <c r="H189" s="3">
        <v>868.87</v>
      </c>
      <c r="I189" s="3">
        <v>7</v>
      </c>
      <c r="J189" s="3">
        <v>111.01</v>
      </c>
    </row>
    <row r="190" spans="1:10" ht="30.75" thickBot="1" x14ac:dyDescent="0.3">
      <c r="A190" s="1" t="s">
        <v>208</v>
      </c>
      <c r="B190" s="2">
        <v>45431</v>
      </c>
      <c r="C190" s="2" t="str">
        <f xml:space="preserve"> TEXT(Table1[[#This Row],[Date]], "MMM")</f>
        <v>May</v>
      </c>
      <c r="D190" s="2" t="str">
        <f>TEXT(Table1[[#This Row],[Date]], "YYYY")</f>
        <v>2024</v>
      </c>
      <c r="E190" s="1" t="s">
        <v>13</v>
      </c>
      <c r="F190" s="1" t="s">
        <v>10</v>
      </c>
      <c r="G190" s="1" t="s">
        <v>26</v>
      </c>
      <c r="H190" s="3">
        <v>278.79000000000002</v>
      </c>
      <c r="I190" s="3">
        <v>2</v>
      </c>
      <c r="J190" s="3">
        <v>95.81</v>
      </c>
    </row>
    <row r="191" spans="1:10" ht="30.75" thickBot="1" x14ac:dyDescent="0.3">
      <c r="A191" s="1" t="s">
        <v>209</v>
      </c>
      <c r="B191" s="2">
        <v>45391</v>
      </c>
      <c r="C191" s="2" t="str">
        <f xml:space="preserve"> TEXT(Table1[[#This Row],[Date]], "MMM")</f>
        <v>Apr</v>
      </c>
      <c r="D191" s="2" t="str">
        <f>TEXT(Table1[[#This Row],[Date]], "YYYY")</f>
        <v>2024</v>
      </c>
      <c r="E191" s="1" t="s">
        <v>15</v>
      </c>
      <c r="F191" s="1" t="s">
        <v>16</v>
      </c>
      <c r="G191" s="1" t="s">
        <v>21</v>
      </c>
      <c r="H191" s="3">
        <v>4552.09</v>
      </c>
      <c r="I191" s="3">
        <v>6</v>
      </c>
      <c r="J191" s="3">
        <v>542.98</v>
      </c>
    </row>
    <row r="192" spans="1:10" ht="30.75" thickBot="1" x14ac:dyDescent="0.3">
      <c r="A192" s="1" t="s">
        <v>210</v>
      </c>
      <c r="B192" s="2">
        <v>45528</v>
      </c>
      <c r="C192" s="2" t="str">
        <f xml:space="preserve"> TEXT(Table1[[#This Row],[Date]], "MMM")</f>
        <v>Aug</v>
      </c>
      <c r="D192" s="2" t="str">
        <f>TEXT(Table1[[#This Row],[Date]], "YYYY")</f>
        <v>2024</v>
      </c>
      <c r="E192" s="1" t="s">
        <v>25</v>
      </c>
      <c r="F192" s="1" t="s">
        <v>16</v>
      </c>
      <c r="G192" s="1" t="s">
        <v>21</v>
      </c>
      <c r="H192" s="3">
        <v>2903.53</v>
      </c>
      <c r="I192" s="3">
        <v>3</v>
      </c>
      <c r="J192" s="3">
        <v>710.62</v>
      </c>
    </row>
    <row r="193" spans="1:10" ht="30.75" thickBot="1" x14ac:dyDescent="0.3">
      <c r="A193" s="1" t="s">
        <v>211</v>
      </c>
      <c r="B193" s="2">
        <v>45213</v>
      </c>
      <c r="C193" s="2" t="str">
        <f xml:space="preserve"> TEXT(Table1[[#This Row],[Date]], "MMM")</f>
        <v>Oct</v>
      </c>
      <c r="D193" s="2" t="str">
        <f>TEXT(Table1[[#This Row],[Date]], "YYYY")</f>
        <v>2023</v>
      </c>
      <c r="E193" s="1" t="s">
        <v>18</v>
      </c>
      <c r="F193" s="1" t="s">
        <v>10</v>
      </c>
      <c r="G193" s="1" t="s">
        <v>21</v>
      </c>
      <c r="H193" s="3">
        <v>662.79</v>
      </c>
      <c r="I193" s="3">
        <v>1</v>
      </c>
      <c r="J193" s="3">
        <v>558.41999999999996</v>
      </c>
    </row>
    <row r="194" spans="1:10" ht="30.75" thickBot="1" x14ac:dyDescent="0.3">
      <c r="A194" s="1" t="s">
        <v>212</v>
      </c>
      <c r="B194" s="2">
        <v>45298</v>
      </c>
      <c r="C194" s="2" t="str">
        <f xml:space="preserve"> TEXT(Table1[[#This Row],[Date]], "MMM")</f>
        <v>Jan</v>
      </c>
      <c r="D194" s="2" t="str">
        <f>TEXT(Table1[[#This Row],[Date]], "YYYY")</f>
        <v>2024</v>
      </c>
      <c r="E194" s="1" t="s">
        <v>18</v>
      </c>
      <c r="F194" s="1" t="s">
        <v>10</v>
      </c>
      <c r="G194" s="1" t="s">
        <v>19</v>
      </c>
      <c r="H194" s="3">
        <v>1957.99</v>
      </c>
      <c r="I194" s="3">
        <v>2</v>
      </c>
      <c r="J194" s="3">
        <v>785.12</v>
      </c>
    </row>
    <row r="195" spans="1:10" ht="30.75" thickBot="1" x14ac:dyDescent="0.3">
      <c r="A195" s="1" t="s">
        <v>213</v>
      </c>
      <c r="B195" s="2">
        <v>44989</v>
      </c>
      <c r="C195" s="2" t="str">
        <f xml:space="preserve"> TEXT(Table1[[#This Row],[Date]], "MMM")</f>
        <v>Mar</v>
      </c>
      <c r="D195" s="2" t="str">
        <f>TEXT(Table1[[#This Row],[Date]], "YYYY")</f>
        <v>2023</v>
      </c>
      <c r="E195" s="1" t="s">
        <v>9</v>
      </c>
      <c r="F195" s="1" t="s">
        <v>10</v>
      </c>
      <c r="G195" s="1" t="s">
        <v>26</v>
      </c>
      <c r="H195" s="3">
        <v>2448.56</v>
      </c>
      <c r="I195" s="3">
        <v>7</v>
      </c>
      <c r="J195" s="3">
        <v>235.19</v>
      </c>
    </row>
    <row r="196" spans="1:10" ht="30.75" thickBot="1" x14ac:dyDescent="0.3">
      <c r="A196" s="1" t="s">
        <v>214</v>
      </c>
      <c r="B196" s="2">
        <v>45605</v>
      </c>
      <c r="C196" s="2" t="str">
        <f xml:space="preserve"> TEXT(Table1[[#This Row],[Date]], "MMM")</f>
        <v>Nov</v>
      </c>
      <c r="D196" s="2" t="str">
        <f>TEXT(Table1[[#This Row],[Date]], "YYYY")</f>
        <v>2024</v>
      </c>
      <c r="E196" s="1" t="s">
        <v>18</v>
      </c>
      <c r="F196" s="1" t="s">
        <v>10</v>
      </c>
      <c r="G196" s="1" t="s">
        <v>11</v>
      </c>
      <c r="H196" s="3">
        <v>2787.66</v>
      </c>
      <c r="I196" s="3">
        <v>4</v>
      </c>
      <c r="J196" s="3">
        <v>520.53</v>
      </c>
    </row>
    <row r="197" spans="1:10" ht="30.75" thickBot="1" x14ac:dyDescent="0.3">
      <c r="A197" s="1" t="s">
        <v>215</v>
      </c>
      <c r="B197" s="2">
        <v>45268</v>
      </c>
      <c r="C197" s="2" t="str">
        <f xml:space="preserve"> TEXT(Table1[[#This Row],[Date]], "MMM")</f>
        <v>Dec</v>
      </c>
      <c r="D197" s="2" t="str">
        <f>TEXT(Table1[[#This Row],[Date]], "YYYY")</f>
        <v>2023</v>
      </c>
      <c r="E197" s="1" t="s">
        <v>13</v>
      </c>
      <c r="F197" s="1" t="s">
        <v>10</v>
      </c>
      <c r="G197" s="1" t="s">
        <v>11</v>
      </c>
      <c r="H197" s="3">
        <v>4477.9799999999996</v>
      </c>
      <c r="I197" s="3">
        <v>4</v>
      </c>
      <c r="J197" s="3">
        <v>791.28</v>
      </c>
    </row>
    <row r="198" spans="1:10" ht="30.75" thickBot="1" x14ac:dyDescent="0.3">
      <c r="A198" s="1" t="s">
        <v>216</v>
      </c>
      <c r="B198" s="2">
        <v>45494</v>
      </c>
      <c r="C198" s="2" t="str">
        <f xml:space="preserve"> TEXT(Table1[[#This Row],[Date]], "MMM")</f>
        <v>Jul</v>
      </c>
      <c r="D198" s="2" t="str">
        <f>TEXT(Table1[[#This Row],[Date]], "YYYY")</f>
        <v>2024</v>
      </c>
      <c r="E198" s="1" t="s">
        <v>15</v>
      </c>
      <c r="F198" s="1" t="s">
        <v>16</v>
      </c>
      <c r="G198" s="1" t="s">
        <v>11</v>
      </c>
      <c r="H198" s="3">
        <v>2721.49</v>
      </c>
      <c r="I198" s="3">
        <v>4</v>
      </c>
      <c r="J198" s="3">
        <v>477.38</v>
      </c>
    </row>
    <row r="199" spans="1:10" ht="30.75" thickBot="1" x14ac:dyDescent="0.3">
      <c r="A199" s="1" t="s">
        <v>217</v>
      </c>
      <c r="B199" s="2">
        <v>45078</v>
      </c>
      <c r="C199" s="2" t="str">
        <f xml:space="preserve"> TEXT(Table1[[#This Row],[Date]], "MMM")</f>
        <v>Jun</v>
      </c>
      <c r="D199" s="2" t="str">
        <f>TEXT(Table1[[#This Row],[Date]], "YYYY")</f>
        <v>2023</v>
      </c>
      <c r="E199" s="1" t="s">
        <v>15</v>
      </c>
      <c r="F199" s="1" t="s">
        <v>16</v>
      </c>
      <c r="G199" s="1" t="s">
        <v>26</v>
      </c>
      <c r="H199" s="3">
        <v>320.57</v>
      </c>
      <c r="I199" s="3">
        <v>10</v>
      </c>
      <c r="J199" s="3">
        <v>22.21</v>
      </c>
    </row>
    <row r="200" spans="1:10" ht="30.75" thickBot="1" x14ac:dyDescent="0.3">
      <c r="A200" s="1" t="s">
        <v>218</v>
      </c>
      <c r="B200" s="2">
        <v>45480</v>
      </c>
      <c r="C200" s="2" t="str">
        <f xml:space="preserve"> TEXT(Table1[[#This Row],[Date]], "MMM")</f>
        <v>Jul</v>
      </c>
      <c r="D200" s="2" t="str">
        <f>TEXT(Table1[[#This Row],[Date]], "YYYY")</f>
        <v>2024</v>
      </c>
      <c r="E200" s="1" t="s">
        <v>15</v>
      </c>
      <c r="F200" s="1" t="s">
        <v>16</v>
      </c>
      <c r="G200" s="1" t="s">
        <v>19</v>
      </c>
      <c r="H200" s="3">
        <v>3676.95</v>
      </c>
      <c r="I200" s="3">
        <v>5</v>
      </c>
      <c r="J200" s="3">
        <v>642.84</v>
      </c>
    </row>
    <row r="201" spans="1:10" ht="30.75" thickBot="1" x14ac:dyDescent="0.3">
      <c r="A201" s="1" t="s">
        <v>219</v>
      </c>
      <c r="B201" s="2">
        <v>44942</v>
      </c>
      <c r="C201" s="2" t="str">
        <f xml:space="preserve"> TEXT(Table1[[#This Row],[Date]], "MMM")</f>
        <v>Jan</v>
      </c>
      <c r="D201" s="2" t="str">
        <f>TEXT(Table1[[#This Row],[Date]], "YYYY")</f>
        <v>2023</v>
      </c>
      <c r="E201" s="1" t="s">
        <v>13</v>
      </c>
      <c r="F201" s="1" t="s">
        <v>10</v>
      </c>
      <c r="G201" s="1" t="s">
        <v>19</v>
      </c>
      <c r="H201" s="3">
        <v>4562.1400000000003</v>
      </c>
      <c r="I201" s="3">
        <v>6</v>
      </c>
      <c r="J201" s="3">
        <v>636.19000000000005</v>
      </c>
    </row>
    <row r="202" spans="1:10" ht="30.75" thickBot="1" x14ac:dyDescent="0.3">
      <c r="A202" s="1" t="s">
        <v>220</v>
      </c>
      <c r="B202" s="2">
        <v>45105</v>
      </c>
      <c r="C202" s="2" t="str">
        <f xml:space="preserve"> TEXT(Table1[[#This Row],[Date]], "MMM")</f>
        <v>Jun</v>
      </c>
      <c r="D202" s="2" t="str">
        <f>TEXT(Table1[[#This Row],[Date]], "YYYY")</f>
        <v>2023</v>
      </c>
      <c r="E202" s="1" t="s">
        <v>23</v>
      </c>
      <c r="F202" s="1" t="s">
        <v>16</v>
      </c>
      <c r="G202" s="1" t="s">
        <v>11</v>
      </c>
      <c r="H202" s="3">
        <v>425.08</v>
      </c>
      <c r="I202" s="3">
        <v>5</v>
      </c>
      <c r="J202" s="3">
        <v>60.87</v>
      </c>
    </row>
    <row r="203" spans="1:10" ht="30.75" thickBot="1" x14ac:dyDescent="0.3">
      <c r="A203" s="1" t="s">
        <v>221</v>
      </c>
      <c r="B203" s="2">
        <v>44992</v>
      </c>
      <c r="C203" s="2" t="str">
        <f xml:space="preserve"> TEXT(Table1[[#This Row],[Date]], "MMM")</f>
        <v>Mar</v>
      </c>
      <c r="D203" s="2" t="str">
        <f>TEXT(Table1[[#This Row],[Date]], "YYYY")</f>
        <v>2023</v>
      </c>
      <c r="E203" s="1" t="s">
        <v>25</v>
      </c>
      <c r="F203" s="1" t="s">
        <v>16</v>
      </c>
      <c r="G203" s="1" t="s">
        <v>11</v>
      </c>
      <c r="H203" s="3">
        <v>3681.17</v>
      </c>
      <c r="I203" s="3">
        <v>8</v>
      </c>
      <c r="J203" s="3">
        <v>369.65</v>
      </c>
    </row>
    <row r="204" spans="1:10" ht="30.75" thickBot="1" x14ac:dyDescent="0.3">
      <c r="A204" s="1" t="s">
        <v>222</v>
      </c>
      <c r="B204" s="2">
        <v>45389</v>
      </c>
      <c r="C204" s="2" t="str">
        <f xml:space="preserve"> TEXT(Table1[[#This Row],[Date]], "MMM")</f>
        <v>Apr</v>
      </c>
      <c r="D204" s="2" t="str">
        <f>TEXT(Table1[[#This Row],[Date]], "YYYY")</f>
        <v>2024</v>
      </c>
      <c r="E204" s="1" t="s">
        <v>25</v>
      </c>
      <c r="F204" s="1" t="s">
        <v>16</v>
      </c>
      <c r="G204" s="1" t="s">
        <v>11</v>
      </c>
      <c r="H204" s="3">
        <v>2335.77</v>
      </c>
      <c r="I204" s="3">
        <v>9</v>
      </c>
      <c r="J204" s="3">
        <v>192.81</v>
      </c>
    </row>
    <row r="205" spans="1:10" ht="30.75" thickBot="1" x14ac:dyDescent="0.3">
      <c r="A205" s="1" t="s">
        <v>223</v>
      </c>
      <c r="B205" s="2">
        <v>45396</v>
      </c>
      <c r="C205" s="2" t="str">
        <f xml:space="preserve"> TEXT(Table1[[#This Row],[Date]], "MMM")</f>
        <v>Apr</v>
      </c>
      <c r="D205" s="2" t="str">
        <f>TEXT(Table1[[#This Row],[Date]], "YYYY")</f>
        <v>2024</v>
      </c>
      <c r="E205" s="1" t="s">
        <v>9</v>
      </c>
      <c r="F205" s="1" t="s">
        <v>10</v>
      </c>
      <c r="G205" s="1" t="s">
        <v>26</v>
      </c>
      <c r="H205" s="3">
        <v>87.11</v>
      </c>
      <c r="I205" s="3">
        <v>1</v>
      </c>
      <c r="J205" s="3">
        <v>67.44</v>
      </c>
    </row>
    <row r="206" spans="1:10" ht="30.75" thickBot="1" x14ac:dyDescent="0.3">
      <c r="A206" s="1" t="s">
        <v>224</v>
      </c>
      <c r="B206" s="2">
        <v>45629</v>
      </c>
      <c r="C206" s="2" t="str">
        <f xml:space="preserve"> TEXT(Table1[[#This Row],[Date]], "MMM")</f>
        <v>Dec</v>
      </c>
      <c r="D206" s="2" t="str">
        <f>TEXT(Table1[[#This Row],[Date]], "YYYY")</f>
        <v>2024</v>
      </c>
      <c r="E206" s="1" t="s">
        <v>18</v>
      </c>
      <c r="F206" s="1" t="s">
        <v>10</v>
      </c>
      <c r="G206" s="1" t="s">
        <v>21</v>
      </c>
      <c r="H206" s="3">
        <v>1178.1600000000001</v>
      </c>
      <c r="I206" s="3">
        <v>2</v>
      </c>
      <c r="J206" s="3">
        <v>402.41</v>
      </c>
    </row>
    <row r="207" spans="1:10" ht="30.75" thickBot="1" x14ac:dyDescent="0.3">
      <c r="A207" s="1" t="s">
        <v>225</v>
      </c>
      <c r="B207" s="2">
        <v>45256</v>
      </c>
      <c r="C207" s="2" t="str">
        <f xml:space="preserve"> TEXT(Table1[[#This Row],[Date]], "MMM")</f>
        <v>Nov</v>
      </c>
      <c r="D207" s="2" t="str">
        <f>TEXT(Table1[[#This Row],[Date]], "YYYY")</f>
        <v>2023</v>
      </c>
      <c r="E207" s="1" t="s">
        <v>13</v>
      </c>
      <c r="F207" s="1" t="s">
        <v>10</v>
      </c>
      <c r="G207" s="1" t="s">
        <v>11</v>
      </c>
      <c r="H207" s="3">
        <v>1561.2</v>
      </c>
      <c r="I207" s="3">
        <v>10</v>
      </c>
      <c r="J207" s="3">
        <v>135.69999999999999</v>
      </c>
    </row>
    <row r="208" spans="1:10" ht="30.75" thickBot="1" x14ac:dyDescent="0.3">
      <c r="A208" s="1" t="s">
        <v>226</v>
      </c>
      <c r="B208" s="2">
        <v>45317</v>
      </c>
      <c r="C208" s="2" t="str">
        <f xml:space="preserve"> TEXT(Table1[[#This Row],[Date]], "MMM")</f>
        <v>Jan</v>
      </c>
      <c r="D208" s="2" t="str">
        <f>TEXT(Table1[[#This Row],[Date]], "YYYY")</f>
        <v>2024</v>
      </c>
      <c r="E208" s="1" t="s">
        <v>25</v>
      </c>
      <c r="F208" s="1" t="s">
        <v>16</v>
      </c>
      <c r="G208" s="1" t="s">
        <v>26</v>
      </c>
      <c r="H208" s="3">
        <v>5559.47</v>
      </c>
      <c r="I208" s="3">
        <v>10</v>
      </c>
      <c r="J208" s="3">
        <v>433.83</v>
      </c>
    </row>
    <row r="209" spans="1:10" ht="30.75" thickBot="1" x14ac:dyDescent="0.3">
      <c r="A209" s="1" t="s">
        <v>227</v>
      </c>
      <c r="B209" s="2">
        <v>45028</v>
      </c>
      <c r="C209" s="2" t="str">
        <f xml:space="preserve"> TEXT(Table1[[#This Row],[Date]], "MMM")</f>
        <v>Apr</v>
      </c>
      <c r="D209" s="2" t="str">
        <f>TEXT(Table1[[#This Row],[Date]], "YYYY")</f>
        <v>2023</v>
      </c>
      <c r="E209" s="1" t="s">
        <v>25</v>
      </c>
      <c r="F209" s="1" t="s">
        <v>16</v>
      </c>
      <c r="G209" s="1" t="s">
        <v>21</v>
      </c>
      <c r="H209" s="3">
        <v>1864.19</v>
      </c>
      <c r="I209" s="3">
        <v>2</v>
      </c>
      <c r="J209" s="3">
        <v>685.18</v>
      </c>
    </row>
    <row r="210" spans="1:10" ht="30.75" thickBot="1" x14ac:dyDescent="0.3">
      <c r="A210" s="1" t="s">
        <v>228</v>
      </c>
      <c r="B210" s="2">
        <v>45367</v>
      </c>
      <c r="C210" s="2" t="str">
        <f xml:space="preserve"> TEXT(Table1[[#This Row],[Date]], "MMM")</f>
        <v>Mar</v>
      </c>
      <c r="D210" s="2" t="str">
        <f>TEXT(Table1[[#This Row],[Date]], "YYYY")</f>
        <v>2024</v>
      </c>
      <c r="E210" s="1" t="s">
        <v>25</v>
      </c>
      <c r="F210" s="1" t="s">
        <v>16</v>
      </c>
      <c r="G210" s="1" t="s">
        <v>19</v>
      </c>
      <c r="H210" s="3">
        <v>7215.62</v>
      </c>
      <c r="I210" s="3">
        <v>8</v>
      </c>
      <c r="J210" s="3">
        <v>712.71</v>
      </c>
    </row>
    <row r="211" spans="1:10" ht="30.75" thickBot="1" x14ac:dyDescent="0.3">
      <c r="A211" s="1" t="s">
        <v>229</v>
      </c>
      <c r="B211" s="2">
        <v>45352</v>
      </c>
      <c r="C211" s="2" t="str">
        <f xml:space="preserve"> TEXT(Table1[[#This Row],[Date]], "MMM")</f>
        <v>Mar</v>
      </c>
      <c r="D211" s="2" t="str">
        <f>TEXT(Table1[[#This Row],[Date]], "YYYY")</f>
        <v>2024</v>
      </c>
      <c r="E211" s="1" t="s">
        <v>18</v>
      </c>
      <c r="F211" s="1" t="s">
        <v>10</v>
      </c>
      <c r="G211" s="1" t="s">
        <v>21</v>
      </c>
      <c r="H211" s="3">
        <v>646.29</v>
      </c>
      <c r="I211" s="3">
        <v>2</v>
      </c>
      <c r="J211" s="3">
        <v>263.79000000000002</v>
      </c>
    </row>
    <row r="212" spans="1:10" ht="30.75" thickBot="1" x14ac:dyDescent="0.3">
      <c r="A212" s="1" t="s">
        <v>230</v>
      </c>
      <c r="B212" s="2">
        <v>45083</v>
      </c>
      <c r="C212" s="2" t="str">
        <f xml:space="preserve"> TEXT(Table1[[#This Row],[Date]], "MMM")</f>
        <v>Jun</v>
      </c>
      <c r="D212" s="2" t="str">
        <f>TEXT(Table1[[#This Row],[Date]], "YYYY")</f>
        <v>2023</v>
      </c>
      <c r="E212" s="1" t="s">
        <v>23</v>
      </c>
      <c r="F212" s="1" t="s">
        <v>16</v>
      </c>
      <c r="G212" s="1" t="s">
        <v>26</v>
      </c>
      <c r="H212" s="3">
        <v>829.37</v>
      </c>
      <c r="I212" s="3">
        <v>8</v>
      </c>
      <c r="J212" s="3">
        <v>72.36</v>
      </c>
    </row>
    <row r="213" spans="1:10" ht="30.75" thickBot="1" x14ac:dyDescent="0.3">
      <c r="A213" s="1" t="s">
        <v>231</v>
      </c>
      <c r="B213" s="2">
        <v>45025</v>
      </c>
      <c r="C213" s="2" t="str">
        <f xml:space="preserve"> TEXT(Table1[[#This Row],[Date]], "MMM")</f>
        <v>Apr</v>
      </c>
      <c r="D213" s="2" t="str">
        <f>TEXT(Table1[[#This Row],[Date]], "YYYY")</f>
        <v>2023</v>
      </c>
      <c r="E213" s="1" t="s">
        <v>13</v>
      </c>
      <c r="F213" s="1" t="s">
        <v>10</v>
      </c>
      <c r="G213" s="1" t="s">
        <v>21</v>
      </c>
      <c r="H213" s="3">
        <v>5183.17</v>
      </c>
      <c r="I213" s="3">
        <v>6</v>
      </c>
      <c r="J213" s="3">
        <v>653.17999999999995</v>
      </c>
    </row>
    <row r="214" spans="1:10" ht="30.75" thickBot="1" x14ac:dyDescent="0.3">
      <c r="A214" s="1" t="s">
        <v>232</v>
      </c>
      <c r="B214" s="2">
        <v>45613</v>
      </c>
      <c r="C214" s="2" t="str">
        <f xml:space="preserve"> TEXT(Table1[[#This Row],[Date]], "MMM")</f>
        <v>Nov</v>
      </c>
      <c r="D214" s="2" t="str">
        <f>TEXT(Table1[[#This Row],[Date]], "YYYY")</f>
        <v>2024</v>
      </c>
      <c r="E214" s="1" t="s">
        <v>25</v>
      </c>
      <c r="F214" s="1" t="s">
        <v>16</v>
      </c>
      <c r="G214" s="1" t="s">
        <v>26</v>
      </c>
      <c r="H214" s="3">
        <v>986.87</v>
      </c>
      <c r="I214" s="3">
        <v>2</v>
      </c>
      <c r="J214" s="3">
        <v>340.43</v>
      </c>
    </row>
    <row r="215" spans="1:10" ht="30.75" thickBot="1" x14ac:dyDescent="0.3">
      <c r="A215" s="1" t="s">
        <v>233</v>
      </c>
      <c r="B215" s="2">
        <v>45221</v>
      </c>
      <c r="C215" s="2" t="str">
        <f xml:space="preserve"> TEXT(Table1[[#This Row],[Date]], "MMM")</f>
        <v>Oct</v>
      </c>
      <c r="D215" s="2" t="str">
        <f>TEXT(Table1[[#This Row],[Date]], "YYYY")</f>
        <v>2023</v>
      </c>
      <c r="E215" s="1" t="s">
        <v>18</v>
      </c>
      <c r="F215" s="1" t="s">
        <v>10</v>
      </c>
      <c r="G215" s="1" t="s">
        <v>11</v>
      </c>
      <c r="H215" s="3">
        <v>3010.09</v>
      </c>
      <c r="I215" s="3">
        <v>10</v>
      </c>
      <c r="J215" s="3">
        <v>263.70999999999998</v>
      </c>
    </row>
    <row r="216" spans="1:10" ht="30.75" thickBot="1" x14ac:dyDescent="0.3">
      <c r="A216" s="1" t="s">
        <v>234</v>
      </c>
      <c r="B216" s="2">
        <v>45085</v>
      </c>
      <c r="C216" s="2" t="str">
        <f xml:space="preserve"> TEXT(Table1[[#This Row],[Date]], "MMM")</f>
        <v>Jun</v>
      </c>
      <c r="D216" s="2" t="str">
        <f>TEXT(Table1[[#This Row],[Date]], "YYYY")</f>
        <v>2023</v>
      </c>
      <c r="E216" s="1" t="s">
        <v>25</v>
      </c>
      <c r="F216" s="1" t="s">
        <v>16</v>
      </c>
      <c r="G216" s="1" t="s">
        <v>19</v>
      </c>
      <c r="H216" s="3">
        <v>1782.71</v>
      </c>
      <c r="I216" s="3">
        <v>8</v>
      </c>
      <c r="J216" s="3">
        <v>194.91</v>
      </c>
    </row>
    <row r="217" spans="1:10" ht="30.75" thickBot="1" x14ac:dyDescent="0.3">
      <c r="A217" s="1" t="s">
        <v>235</v>
      </c>
      <c r="B217" s="2">
        <v>45044</v>
      </c>
      <c r="C217" s="2" t="str">
        <f xml:space="preserve"> TEXT(Table1[[#This Row],[Date]], "MMM")</f>
        <v>Apr</v>
      </c>
      <c r="D217" s="2" t="str">
        <f>TEXT(Table1[[#This Row],[Date]], "YYYY")</f>
        <v>2023</v>
      </c>
      <c r="E217" s="1" t="s">
        <v>25</v>
      </c>
      <c r="F217" s="1" t="s">
        <v>16</v>
      </c>
      <c r="G217" s="1" t="s">
        <v>26</v>
      </c>
      <c r="H217" s="3">
        <v>3328.14</v>
      </c>
      <c r="I217" s="3">
        <v>5</v>
      </c>
      <c r="J217" s="3">
        <v>467.8</v>
      </c>
    </row>
    <row r="218" spans="1:10" ht="30.75" thickBot="1" x14ac:dyDescent="0.3">
      <c r="A218" s="1" t="s">
        <v>236</v>
      </c>
      <c r="B218" s="2">
        <v>45550</v>
      </c>
      <c r="C218" s="2" t="str">
        <f xml:space="preserve"> TEXT(Table1[[#This Row],[Date]], "MMM")</f>
        <v>Sep</v>
      </c>
      <c r="D218" s="2" t="str">
        <f>TEXT(Table1[[#This Row],[Date]], "YYYY")</f>
        <v>2024</v>
      </c>
      <c r="E218" s="1" t="s">
        <v>25</v>
      </c>
      <c r="F218" s="1" t="s">
        <v>16</v>
      </c>
      <c r="G218" s="1" t="s">
        <v>11</v>
      </c>
      <c r="H218" s="3">
        <v>257.45999999999998</v>
      </c>
      <c r="I218" s="3">
        <v>5</v>
      </c>
      <c r="J218" s="3">
        <v>42.58</v>
      </c>
    </row>
    <row r="219" spans="1:10" ht="30.75" thickBot="1" x14ac:dyDescent="0.3">
      <c r="A219" s="1" t="s">
        <v>237</v>
      </c>
      <c r="B219" s="2">
        <v>45286</v>
      </c>
      <c r="C219" s="2" t="str">
        <f xml:space="preserve"> TEXT(Table1[[#This Row],[Date]], "MMM")</f>
        <v>Dec</v>
      </c>
      <c r="D219" s="2" t="str">
        <f>TEXT(Table1[[#This Row],[Date]], "YYYY")</f>
        <v>2023</v>
      </c>
      <c r="E219" s="1" t="s">
        <v>23</v>
      </c>
      <c r="F219" s="1" t="s">
        <v>16</v>
      </c>
      <c r="G219" s="1" t="s">
        <v>26</v>
      </c>
      <c r="H219" s="3">
        <v>186.9</v>
      </c>
      <c r="I219" s="3">
        <v>1</v>
      </c>
      <c r="J219" s="3">
        <v>161.5</v>
      </c>
    </row>
    <row r="220" spans="1:10" ht="30.75" thickBot="1" x14ac:dyDescent="0.3">
      <c r="A220" s="1" t="s">
        <v>238</v>
      </c>
      <c r="B220" s="2">
        <v>44998</v>
      </c>
      <c r="C220" s="2" t="str">
        <f xml:space="preserve"> TEXT(Table1[[#This Row],[Date]], "MMM")</f>
        <v>Mar</v>
      </c>
      <c r="D220" s="2" t="str">
        <f>TEXT(Table1[[#This Row],[Date]], "YYYY")</f>
        <v>2023</v>
      </c>
      <c r="E220" s="1" t="s">
        <v>9</v>
      </c>
      <c r="F220" s="1" t="s">
        <v>10</v>
      </c>
      <c r="G220" s="1" t="s">
        <v>21</v>
      </c>
      <c r="H220" s="3">
        <v>2670.59</v>
      </c>
      <c r="I220" s="3">
        <v>3</v>
      </c>
      <c r="J220" s="3">
        <v>597.96</v>
      </c>
    </row>
    <row r="221" spans="1:10" ht="30.75" thickBot="1" x14ac:dyDescent="0.3">
      <c r="A221" s="1" t="s">
        <v>239</v>
      </c>
      <c r="B221" s="2">
        <v>45312</v>
      </c>
      <c r="C221" s="2" t="str">
        <f xml:space="preserve"> TEXT(Table1[[#This Row],[Date]], "MMM")</f>
        <v>Jan</v>
      </c>
      <c r="D221" s="2" t="str">
        <f>TEXT(Table1[[#This Row],[Date]], "YYYY")</f>
        <v>2024</v>
      </c>
      <c r="E221" s="1" t="s">
        <v>13</v>
      </c>
      <c r="F221" s="1" t="s">
        <v>10</v>
      </c>
      <c r="G221" s="1" t="s">
        <v>19</v>
      </c>
      <c r="H221" s="3">
        <v>3043.34</v>
      </c>
      <c r="I221" s="3">
        <v>7</v>
      </c>
      <c r="J221" s="3">
        <v>373.84</v>
      </c>
    </row>
    <row r="222" spans="1:10" ht="30.75" thickBot="1" x14ac:dyDescent="0.3">
      <c r="A222" s="1" t="s">
        <v>240</v>
      </c>
      <c r="B222" s="2">
        <v>45508</v>
      </c>
      <c r="C222" s="2" t="str">
        <f xml:space="preserve"> TEXT(Table1[[#This Row],[Date]], "MMM")</f>
        <v>Aug</v>
      </c>
      <c r="D222" s="2" t="str">
        <f>TEXT(Table1[[#This Row],[Date]], "YYYY")</f>
        <v>2024</v>
      </c>
      <c r="E222" s="1" t="s">
        <v>23</v>
      </c>
      <c r="F222" s="1" t="s">
        <v>16</v>
      </c>
      <c r="G222" s="1" t="s">
        <v>26</v>
      </c>
      <c r="H222" s="3">
        <v>967.12</v>
      </c>
      <c r="I222" s="3">
        <v>10</v>
      </c>
      <c r="J222" s="3">
        <v>86.27</v>
      </c>
    </row>
    <row r="223" spans="1:10" ht="30.75" thickBot="1" x14ac:dyDescent="0.3">
      <c r="A223" s="1" t="s">
        <v>241</v>
      </c>
      <c r="B223" s="2">
        <v>45617</v>
      </c>
      <c r="C223" s="2" t="str">
        <f xml:space="preserve"> TEXT(Table1[[#This Row],[Date]], "MMM")</f>
        <v>Nov</v>
      </c>
      <c r="D223" s="2" t="str">
        <f>TEXT(Table1[[#This Row],[Date]], "YYYY")</f>
        <v>2024</v>
      </c>
      <c r="E223" s="1" t="s">
        <v>15</v>
      </c>
      <c r="F223" s="1" t="s">
        <v>16</v>
      </c>
      <c r="G223" s="1" t="s">
        <v>11</v>
      </c>
      <c r="H223" s="3">
        <v>633.91</v>
      </c>
      <c r="I223" s="3">
        <v>2</v>
      </c>
      <c r="J223" s="3">
        <v>232.24</v>
      </c>
    </row>
    <row r="224" spans="1:10" ht="30.75" thickBot="1" x14ac:dyDescent="0.3">
      <c r="A224" s="1" t="s">
        <v>242</v>
      </c>
      <c r="B224" s="2">
        <v>45351</v>
      </c>
      <c r="C224" s="2" t="str">
        <f xml:space="preserve"> TEXT(Table1[[#This Row],[Date]], "MMM")</f>
        <v>Feb</v>
      </c>
      <c r="D224" s="2" t="str">
        <f>TEXT(Table1[[#This Row],[Date]], "YYYY")</f>
        <v>2024</v>
      </c>
      <c r="E224" s="1" t="s">
        <v>18</v>
      </c>
      <c r="F224" s="1" t="s">
        <v>10</v>
      </c>
      <c r="G224" s="1" t="s">
        <v>21</v>
      </c>
      <c r="H224" s="3">
        <v>1227.56</v>
      </c>
      <c r="I224" s="3">
        <v>5</v>
      </c>
      <c r="J224" s="3">
        <v>188.14</v>
      </c>
    </row>
    <row r="225" spans="1:10" ht="30.75" thickBot="1" x14ac:dyDescent="0.3">
      <c r="A225" s="1" t="s">
        <v>243</v>
      </c>
      <c r="B225" s="2">
        <v>45040</v>
      </c>
      <c r="C225" s="2" t="str">
        <f xml:space="preserve"> TEXT(Table1[[#This Row],[Date]], "MMM")</f>
        <v>Apr</v>
      </c>
      <c r="D225" s="2" t="str">
        <f>TEXT(Table1[[#This Row],[Date]], "YYYY")</f>
        <v>2023</v>
      </c>
      <c r="E225" s="1" t="s">
        <v>23</v>
      </c>
      <c r="F225" s="1" t="s">
        <v>16</v>
      </c>
      <c r="G225" s="1" t="s">
        <v>21</v>
      </c>
      <c r="H225" s="3">
        <v>3670.83</v>
      </c>
      <c r="I225" s="3">
        <v>5</v>
      </c>
      <c r="J225" s="3">
        <v>549.01</v>
      </c>
    </row>
    <row r="226" spans="1:10" ht="30.75" thickBot="1" x14ac:dyDescent="0.3">
      <c r="A226" s="1" t="s">
        <v>244</v>
      </c>
      <c r="B226" s="2">
        <v>44973</v>
      </c>
      <c r="C226" s="2" t="str">
        <f xml:space="preserve"> TEXT(Table1[[#This Row],[Date]], "MMM")</f>
        <v>Feb</v>
      </c>
      <c r="D226" s="2" t="str">
        <f>TEXT(Table1[[#This Row],[Date]], "YYYY")</f>
        <v>2023</v>
      </c>
      <c r="E226" s="1" t="s">
        <v>25</v>
      </c>
      <c r="F226" s="1" t="s">
        <v>16</v>
      </c>
      <c r="G226" s="1" t="s">
        <v>26</v>
      </c>
      <c r="H226" s="3">
        <v>1759.39</v>
      </c>
      <c r="I226" s="3">
        <v>4</v>
      </c>
      <c r="J226" s="3">
        <v>328.31</v>
      </c>
    </row>
    <row r="227" spans="1:10" ht="30.75" thickBot="1" x14ac:dyDescent="0.3">
      <c r="A227" s="1" t="s">
        <v>245</v>
      </c>
      <c r="B227" s="2">
        <v>45235</v>
      </c>
      <c r="C227" s="2" t="str">
        <f xml:space="preserve"> TEXT(Table1[[#This Row],[Date]], "MMM")</f>
        <v>Nov</v>
      </c>
      <c r="D227" s="2" t="str">
        <f>TEXT(Table1[[#This Row],[Date]], "YYYY")</f>
        <v>2023</v>
      </c>
      <c r="E227" s="1" t="s">
        <v>13</v>
      </c>
      <c r="F227" s="1" t="s">
        <v>10</v>
      </c>
      <c r="G227" s="1" t="s">
        <v>19</v>
      </c>
      <c r="H227" s="3">
        <v>3477.78</v>
      </c>
      <c r="I227" s="3">
        <v>4</v>
      </c>
      <c r="J227" s="3">
        <v>618.53</v>
      </c>
    </row>
    <row r="228" spans="1:10" ht="30.75" thickBot="1" x14ac:dyDescent="0.3">
      <c r="A228" s="1" t="s">
        <v>246</v>
      </c>
      <c r="B228" s="2">
        <v>45049</v>
      </c>
      <c r="C228" s="2" t="str">
        <f xml:space="preserve"> TEXT(Table1[[#This Row],[Date]], "MMM")</f>
        <v>May</v>
      </c>
      <c r="D228" s="2" t="str">
        <f>TEXT(Table1[[#This Row],[Date]], "YYYY")</f>
        <v>2023</v>
      </c>
      <c r="E228" s="1" t="s">
        <v>23</v>
      </c>
      <c r="F228" s="1" t="s">
        <v>16</v>
      </c>
      <c r="G228" s="1" t="s">
        <v>26</v>
      </c>
      <c r="H228" s="3">
        <v>519.03</v>
      </c>
      <c r="I228" s="3">
        <v>1</v>
      </c>
      <c r="J228" s="3">
        <v>407.96</v>
      </c>
    </row>
    <row r="229" spans="1:10" ht="30.75" thickBot="1" x14ac:dyDescent="0.3">
      <c r="A229" s="1" t="s">
        <v>247</v>
      </c>
      <c r="B229" s="2">
        <v>45472</v>
      </c>
      <c r="C229" s="2" t="str">
        <f xml:space="preserve"> TEXT(Table1[[#This Row],[Date]], "MMM")</f>
        <v>Jun</v>
      </c>
      <c r="D229" s="2" t="str">
        <f>TEXT(Table1[[#This Row],[Date]], "YYYY")</f>
        <v>2024</v>
      </c>
      <c r="E229" s="1" t="s">
        <v>15</v>
      </c>
      <c r="F229" s="1" t="s">
        <v>16</v>
      </c>
      <c r="G229" s="1" t="s">
        <v>21</v>
      </c>
      <c r="H229" s="3">
        <v>2351.83</v>
      </c>
      <c r="I229" s="3">
        <v>4</v>
      </c>
      <c r="J229" s="3">
        <v>410.2</v>
      </c>
    </row>
    <row r="230" spans="1:10" ht="30.75" thickBot="1" x14ac:dyDescent="0.3">
      <c r="A230" s="1" t="s">
        <v>248</v>
      </c>
      <c r="B230" s="2">
        <v>45333</v>
      </c>
      <c r="C230" s="2" t="str">
        <f xml:space="preserve"> TEXT(Table1[[#This Row],[Date]], "MMM")</f>
        <v>Feb</v>
      </c>
      <c r="D230" s="2" t="str">
        <f>TEXT(Table1[[#This Row],[Date]], "YYYY")</f>
        <v>2024</v>
      </c>
      <c r="E230" s="1" t="s">
        <v>23</v>
      </c>
      <c r="F230" s="1" t="s">
        <v>16</v>
      </c>
      <c r="G230" s="1" t="s">
        <v>11</v>
      </c>
      <c r="H230" s="3">
        <v>462.53</v>
      </c>
      <c r="I230" s="3">
        <v>1</v>
      </c>
      <c r="J230" s="3">
        <v>360.25</v>
      </c>
    </row>
    <row r="231" spans="1:10" ht="30.75" thickBot="1" x14ac:dyDescent="0.3">
      <c r="A231" s="1" t="s">
        <v>249</v>
      </c>
      <c r="B231" s="2">
        <v>45516</v>
      </c>
      <c r="C231" s="2" t="str">
        <f xml:space="preserve"> TEXT(Table1[[#This Row],[Date]], "MMM")</f>
        <v>Aug</v>
      </c>
      <c r="D231" s="2" t="str">
        <f>TEXT(Table1[[#This Row],[Date]], "YYYY")</f>
        <v>2024</v>
      </c>
      <c r="E231" s="1" t="s">
        <v>13</v>
      </c>
      <c r="F231" s="1" t="s">
        <v>10</v>
      </c>
      <c r="G231" s="1" t="s">
        <v>26</v>
      </c>
      <c r="H231" s="3">
        <v>4526.0600000000004</v>
      </c>
      <c r="I231" s="3">
        <v>7</v>
      </c>
      <c r="J231" s="3">
        <v>467.25</v>
      </c>
    </row>
    <row r="232" spans="1:10" ht="30.75" thickBot="1" x14ac:dyDescent="0.3">
      <c r="A232" s="1" t="s">
        <v>250</v>
      </c>
      <c r="B232" s="2">
        <v>45044</v>
      </c>
      <c r="C232" s="2" t="str">
        <f xml:space="preserve"> TEXT(Table1[[#This Row],[Date]], "MMM")</f>
        <v>Apr</v>
      </c>
      <c r="D232" s="2" t="str">
        <f>TEXT(Table1[[#This Row],[Date]], "YYYY")</f>
        <v>2023</v>
      </c>
      <c r="E232" s="1" t="s">
        <v>18</v>
      </c>
      <c r="F232" s="1" t="s">
        <v>10</v>
      </c>
      <c r="G232" s="1" t="s">
        <v>26</v>
      </c>
      <c r="H232" s="3">
        <v>312.26</v>
      </c>
      <c r="I232" s="3">
        <v>7</v>
      </c>
      <c r="J232" s="3">
        <v>36.270000000000003</v>
      </c>
    </row>
    <row r="233" spans="1:10" ht="30.75" thickBot="1" x14ac:dyDescent="0.3">
      <c r="A233" s="1" t="s">
        <v>251</v>
      </c>
      <c r="B233" s="2">
        <v>45633</v>
      </c>
      <c r="C233" s="2" t="str">
        <f xml:space="preserve"> TEXT(Table1[[#This Row],[Date]], "MMM")</f>
        <v>Dec</v>
      </c>
      <c r="D233" s="2" t="str">
        <f>TEXT(Table1[[#This Row],[Date]], "YYYY")</f>
        <v>2024</v>
      </c>
      <c r="E233" s="1" t="s">
        <v>25</v>
      </c>
      <c r="F233" s="1" t="s">
        <v>16</v>
      </c>
      <c r="G233" s="1" t="s">
        <v>21</v>
      </c>
      <c r="H233" s="3">
        <v>765.54</v>
      </c>
      <c r="I233" s="3">
        <v>6</v>
      </c>
      <c r="J233" s="3">
        <v>88.74</v>
      </c>
    </row>
    <row r="234" spans="1:10" ht="30.75" thickBot="1" x14ac:dyDescent="0.3">
      <c r="A234" s="1" t="s">
        <v>252</v>
      </c>
      <c r="B234" s="2">
        <v>45530</v>
      </c>
      <c r="C234" s="2" t="str">
        <f xml:space="preserve"> TEXT(Table1[[#This Row],[Date]], "MMM")</f>
        <v>Aug</v>
      </c>
      <c r="D234" s="2" t="str">
        <f>TEXT(Table1[[#This Row],[Date]], "YYYY")</f>
        <v>2024</v>
      </c>
      <c r="E234" s="1" t="s">
        <v>15</v>
      </c>
      <c r="F234" s="1" t="s">
        <v>16</v>
      </c>
      <c r="G234" s="1" t="s">
        <v>21</v>
      </c>
      <c r="H234" s="3">
        <v>3775.96</v>
      </c>
      <c r="I234" s="3">
        <v>7</v>
      </c>
      <c r="J234" s="3">
        <v>428.69</v>
      </c>
    </row>
    <row r="235" spans="1:10" ht="30.75" thickBot="1" x14ac:dyDescent="0.3">
      <c r="A235" s="1" t="s">
        <v>253</v>
      </c>
      <c r="B235" s="2">
        <v>45153</v>
      </c>
      <c r="C235" s="2" t="str">
        <f xml:space="preserve"> TEXT(Table1[[#This Row],[Date]], "MMM")</f>
        <v>Aug</v>
      </c>
      <c r="D235" s="2" t="str">
        <f>TEXT(Table1[[#This Row],[Date]], "YYYY")</f>
        <v>2023</v>
      </c>
      <c r="E235" s="1" t="s">
        <v>23</v>
      </c>
      <c r="F235" s="1" t="s">
        <v>16</v>
      </c>
      <c r="G235" s="1" t="s">
        <v>26</v>
      </c>
      <c r="H235" s="3">
        <v>4257.95</v>
      </c>
      <c r="I235" s="3">
        <v>6</v>
      </c>
      <c r="J235" s="3">
        <v>627.71</v>
      </c>
    </row>
    <row r="236" spans="1:10" ht="30.75" thickBot="1" x14ac:dyDescent="0.3">
      <c r="A236" s="1" t="s">
        <v>254</v>
      </c>
      <c r="B236" s="2">
        <v>45470</v>
      </c>
      <c r="C236" s="2" t="str">
        <f xml:space="preserve"> TEXT(Table1[[#This Row],[Date]], "MMM")</f>
        <v>Jun</v>
      </c>
      <c r="D236" s="2" t="str">
        <f>TEXT(Table1[[#This Row],[Date]], "YYYY")</f>
        <v>2024</v>
      </c>
      <c r="E236" s="1" t="s">
        <v>9</v>
      </c>
      <c r="F236" s="1" t="s">
        <v>10</v>
      </c>
      <c r="G236" s="1" t="s">
        <v>11</v>
      </c>
      <c r="H236" s="3">
        <v>2173.79</v>
      </c>
      <c r="I236" s="3">
        <v>9</v>
      </c>
      <c r="J236" s="3">
        <v>171.24</v>
      </c>
    </row>
    <row r="237" spans="1:10" ht="30.75" thickBot="1" x14ac:dyDescent="0.3">
      <c r="A237" s="1" t="s">
        <v>255</v>
      </c>
      <c r="B237" s="2">
        <v>45168</v>
      </c>
      <c r="C237" s="2" t="str">
        <f xml:space="preserve"> TEXT(Table1[[#This Row],[Date]], "MMM")</f>
        <v>Aug</v>
      </c>
      <c r="D237" s="2" t="str">
        <f>TEXT(Table1[[#This Row],[Date]], "YYYY")</f>
        <v>2023</v>
      </c>
      <c r="E237" s="1" t="s">
        <v>23</v>
      </c>
      <c r="F237" s="1" t="s">
        <v>16</v>
      </c>
      <c r="G237" s="1" t="s">
        <v>19</v>
      </c>
      <c r="H237" s="3">
        <v>316.49</v>
      </c>
      <c r="I237" s="3">
        <v>2</v>
      </c>
      <c r="J237" s="3">
        <v>134.22999999999999</v>
      </c>
    </row>
    <row r="238" spans="1:10" ht="30.75" thickBot="1" x14ac:dyDescent="0.3">
      <c r="A238" s="1" t="s">
        <v>256</v>
      </c>
      <c r="B238" s="2">
        <v>45598</v>
      </c>
      <c r="C238" s="2" t="str">
        <f xml:space="preserve"> TEXT(Table1[[#This Row],[Date]], "MMM")</f>
        <v>Nov</v>
      </c>
      <c r="D238" s="2" t="str">
        <f>TEXT(Table1[[#This Row],[Date]], "YYYY")</f>
        <v>2024</v>
      </c>
      <c r="E238" s="1" t="s">
        <v>25</v>
      </c>
      <c r="F238" s="1" t="s">
        <v>16</v>
      </c>
      <c r="G238" s="1" t="s">
        <v>19</v>
      </c>
      <c r="H238" s="3">
        <v>445.77</v>
      </c>
      <c r="I238" s="3">
        <v>2</v>
      </c>
      <c r="J238" s="3">
        <v>158.16999999999999</v>
      </c>
    </row>
    <row r="239" spans="1:10" ht="30.75" thickBot="1" x14ac:dyDescent="0.3">
      <c r="A239" s="1" t="s">
        <v>257</v>
      </c>
      <c r="B239" s="2">
        <v>45504</v>
      </c>
      <c r="C239" s="2" t="str">
        <f xml:space="preserve"> TEXT(Table1[[#This Row],[Date]], "MMM")</f>
        <v>Jul</v>
      </c>
      <c r="D239" s="2" t="str">
        <f>TEXT(Table1[[#This Row],[Date]], "YYYY")</f>
        <v>2024</v>
      </c>
      <c r="E239" s="1" t="s">
        <v>18</v>
      </c>
      <c r="F239" s="1" t="s">
        <v>10</v>
      </c>
      <c r="G239" s="1" t="s">
        <v>21</v>
      </c>
      <c r="H239" s="3">
        <v>5439.95</v>
      </c>
      <c r="I239" s="3">
        <v>10</v>
      </c>
      <c r="J239" s="3">
        <v>370.15</v>
      </c>
    </row>
    <row r="240" spans="1:10" ht="30.75" thickBot="1" x14ac:dyDescent="0.3">
      <c r="A240" s="1" t="s">
        <v>258</v>
      </c>
      <c r="B240" s="2">
        <v>45569</v>
      </c>
      <c r="C240" s="2" t="str">
        <f xml:space="preserve"> TEXT(Table1[[#This Row],[Date]], "MMM")</f>
        <v>Oct</v>
      </c>
      <c r="D240" s="2" t="str">
        <f>TEXT(Table1[[#This Row],[Date]], "YYYY")</f>
        <v>2024</v>
      </c>
      <c r="E240" s="1" t="s">
        <v>25</v>
      </c>
      <c r="F240" s="1" t="s">
        <v>16</v>
      </c>
      <c r="G240" s="1" t="s">
        <v>26</v>
      </c>
      <c r="H240" s="3">
        <v>931.73</v>
      </c>
      <c r="I240" s="3">
        <v>6</v>
      </c>
      <c r="J240" s="3">
        <v>137.75</v>
      </c>
    </row>
    <row r="241" spans="1:10" ht="30.75" thickBot="1" x14ac:dyDescent="0.3">
      <c r="A241" s="1" t="s">
        <v>259</v>
      </c>
      <c r="B241" s="2">
        <v>45208</v>
      </c>
      <c r="C241" s="2" t="str">
        <f xml:space="preserve"> TEXT(Table1[[#This Row],[Date]], "MMM")</f>
        <v>Oct</v>
      </c>
      <c r="D241" s="2" t="str">
        <f>TEXT(Table1[[#This Row],[Date]], "YYYY")</f>
        <v>2023</v>
      </c>
      <c r="E241" s="1" t="s">
        <v>18</v>
      </c>
      <c r="F241" s="1" t="s">
        <v>10</v>
      </c>
      <c r="G241" s="1" t="s">
        <v>26</v>
      </c>
      <c r="H241" s="3">
        <v>831.4</v>
      </c>
      <c r="I241" s="3">
        <v>10</v>
      </c>
      <c r="J241" s="3">
        <v>63.81</v>
      </c>
    </row>
    <row r="242" spans="1:10" ht="30.75" thickBot="1" x14ac:dyDescent="0.3">
      <c r="A242" s="1" t="s">
        <v>260</v>
      </c>
      <c r="B242" s="2">
        <v>45389</v>
      </c>
      <c r="C242" s="2" t="str">
        <f xml:space="preserve"> TEXT(Table1[[#This Row],[Date]], "MMM")</f>
        <v>Apr</v>
      </c>
      <c r="D242" s="2" t="str">
        <f>TEXT(Table1[[#This Row],[Date]], "YYYY")</f>
        <v>2024</v>
      </c>
      <c r="E242" s="1" t="s">
        <v>23</v>
      </c>
      <c r="F242" s="1" t="s">
        <v>16</v>
      </c>
      <c r="G242" s="1" t="s">
        <v>21</v>
      </c>
      <c r="H242" s="3">
        <v>92.22</v>
      </c>
      <c r="I242" s="3">
        <v>1</v>
      </c>
      <c r="J242" s="3">
        <v>64.37</v>
      </c>
    </row>
    <row r="243" spans="1:10" ht="30.75" thickBot="1" x14ac:dyDescent="0.3">
      <c r="A243" s="1" t="s">
        <v>261</v>
      </c>
      <c r="B243" s="2">
        <v>45556</v>
      </c>
      <c r="C243" s="2" t="str">
        <f xml:space="preserve"> TEXT(Table1[[#This Row],[Date]], "MMM")</f>
        <v>Sep</v>
      </c>
      <c r="D243" s="2" t="str">
        <f>TEXT(Table1[[#This Row],[Date]], "YYYY")</f>
        <v>2024</v>
      </c>
      <c r="E243" s="1" t="s">
        <v>13</v>
      </c>
      <c r="F243" s="1" t="s">
        <v>10</v>
      </c>
      <c r="G243" s="1" t="s">
        <v>11</v>
      </c>
      <c r="H243" s="3">
        <v>5339.66</v>
      </c>
      <c r="I243" s="3">
        <v>10</v>
      </c>
      <c r="J243" s="3">
        <v>415.51</v>
      </c>
    </row>
    <row r="244" spans="1:10" ht="30.75" thickBot="1" x14ac:dyDescent="0.3">
      <c r="A244" s="1" t="s">
        <v>262</v>
      </c>
      <c r="B244" s="2">
        <v>45387</v>
      </c>
      <c r="C244" s="2" t="str">
        <f xml:space="preserve"> TEXT(Table1[[#This Row],[Date]], "MMM")</f>
        <v>Apr</v>
      </c>
      <c r="D244" s="2" t="str">
        <f>TEXT(Table1[[#This Row],[Date]], "YYYY")</f>
        <v>2024</v>
      </c>
      <c r="E244" s="1" t="s">
        <v>25</v>
      </c>
      <c r="F244" s="1" t="s">
        <v>16</v>
      </c>
      <c r="G244" s="1" t="s">
        <v>11</v>
      </c>
      <c r="H244" s="3">
        <v>6492.35</v>
      </c>
      <c r="I244" s="3">
        <v>10</v>
      </c>
      <c r="J244" s="3">
        <v>528.42999999999995</v>
      </c>
    </row>
    <row r="245" spans="1:10" ht="30.75" thickBot="1" x14ac:dyDescent="0.3">
      <c r="A245" s="1" t="s">
        <v>263</v>
      </c>
      <c r="B245" s="2">
        <v>44990</v>
      </c>
      <c r="C245" s="2" t="str">
        <f xml:space="preserve"> TEXT(Table1[[#This Row],[Date]], "MMM")</f>
        <v>Mar</v>
      </c>
      <c r="D245" s="2" t="str">
        <f>TEXT(Table1[[#This Row],[Date]], "YYYY")</f>
        <v>2023</v>
      </c>
      <c r="E245" s="1" t="s">
        <v>18</v>
      </c>
      <c r="F245" s="1" t="s">
        <v>10</v>
      </c>
      <c r="G245" s="1" t="s">
        <v>19</v>
      </c>
      <c r="H245" s="3">
        <v>1176.24</v>
      </c>
      <c r="I245" s="3">
        <v>8</v>
      </c>
      <c r="J245" s="3">
        <v>100.73</v>
      </c>
    </row>
    <row r="246" spans="1:10" ht="30.75" thickBot="1" x14ac:dyDescent="0.3">
      <c r="A246" s="1" t="s">
        <v>264</v>
      </c>
      <c r="B246" s="2">
        <v>45443</v>
      </c>
      <c r="C246" s="2" t="str">
        <f xml:space="preserve"> TEXT(Table1[[#This Row],[Date]], "MMM")</f>
        <v>May</v>
      </c>
      <c r="D246" s="2" t="str">
        <f>TEXT(Table1[[#This Row],[Date]], "YYYY")</f>
        <v>2024</v>
      </c>
      <c r="E246" s="1" t="s">
        <v>23</v>
      </c>
      <c r="F246" s="1" t="s">
        <v>16</v>
      </c>
      <c r="G246" s="1" t="s">
        <v>11</v>
      </c>
      <c r="H246" s="3">
        <v>209.66</v>
      </c>
      <c r="I246" s="3">
        <v>3</v>
      </c>
      <c r="J246" s="3">
        <v>50.53</v>
      </c>
    </row>
    <row r="247" spans="1:10" ht="30.75" thickBot="1" x14ac:dyDescent="0.3">
      <c r="A247" s="1" t="s">
        <v>265</v>
      </c>
      <c r="B247" s="2">
        <v>45299</v>
      </c>
      <c r="C247" s="2" t="str">
        <f xml:space="preserve"> TEXT(Table1[[#This Row],[Date]], "MMM")</f>
        <v>Jan</v>
      </c>
      <c r="D247" s="2" t="str">
        <f>TEXT(Table1[[#This Row],[Date]], "YYYY")</f>
        <v>2024</v>
      </c>
      <c r="E247" s="1" t="s">
        <v>18</v>
      </c>
      <c r="F247" s="1" t="s">
        <v>10</v>
      </c>
      <c r="G247" s="1" t="s">
        <v>19</v>
      </c>
      <c r="H247" s="3">
        <v>5541.86</v>
      </c>
      <c r="I247" s="3">
        <v>6</v>
      </c>
      <c r="J247" s="3">
        <v>735.99</v>
      </c>
    </row>
    <row r="248" spans="1:10" ht="30.75" thickBot="1" x14ac:dyDescent="0.3">
      <c r="A248" s="1" t="s">
        <v>266</v>
      </c>
      <c r="B248" s="2">
        <v>45573</v>
      </c>
      <c r="C248" s="2" t="str">
        <f xml:space="preserve"> TEXT(Table1[[#This Row],[Date]], "MMM")</f>
        <v>Oct</v>
      </c>
      <c r="D248" s="2" t="str">
        <f>TEXT(Table1[[#This Row],[Date]], "YYYY")</f>
        <v>2024</v>
      </c>
      <c r="E248" s="1" t="s">
        <v>23</v>
      </c>
      <c r="F248" s="1" t="s">
        <v>16</v>
      </c>
      <c r="G248" s="1" t="s">
        <v>11</v>
      </c>
      <c r="H248" s="3">
        <v>487.5</v>
      </c>
      <c r="I248" s="3">
        <v>6</v>
      </c>
      <c r="J248" s="3">
        <v>71.41</v>
      </c>
    </row>
    <row r="249" spans="1:10" ht="30.75" thickBot="1" x14ac:dyDescent="0.3">
      <c r="A249" s="1" t="s">
        <v>267</v>
      </c>
      <c r="B249" s="2">
        <v>45217</v>
      </c>
      <c r="C249" s="2" t="str">
        <f xml:space="preserve"> TEXT(Table1[[#This Row],[Date]], "MMM")</f>
        <v>Oct</v>
      </c>
      <c r="D249" s="2" t="str">
        <f>TEXT(Table1[[#This Row],[Date]], "YYYY")</f>
        <v>2023</v>
      </c>
      <c r="E249" s="1" t="s">
        <v>9</v>
      </c>
      <c r="F249" s="1" t="s">
        <v>10</v>
      </c>
      <c r="G249" s="1" t="s">
        <v>21</v>
      </c>
      <c r="H249" s="3">
        <v>3982.34</v>
      </c>
      <c r="I249" s="3">
        <v>5</v>
      </c>
      <c r="J249" s="3">
        <v>584.51</v>
      </c>
    </row>
    <row r="250" spans="1:10" ht="30.75" thickBot="1" x14ac:dyDescent="0.3">
      <c r="A250" s="1" t="s">
        <v>268</v>
      </c>
      <c r="B250" s="2">
        <v>45268</v>
      </c>
      <c r="C250" s="2" t="str">
        <f xml:space="preserve"> TEXT(Table1[[#This Row],[Date]], "MMM")</f>
        <v>Dec</v>
      </c>
      <c r="D250" s="2" t="str">
        <f>TEXT(Table1[[#This Row],[Date]], "YYYY")</f>
        <v>2023</v>
      </c>
      <c r="E250" s="1" t="s">
        <v>25</v>
      </c>
      <c r="F250" s="1" t="s">
        <v>16</v>
      </c>
      <c r="G250" s="1" t="s">
        <v>19</v>
      </c>
      <c r="H250" s="3">
        <v>1097.68</v>
      </c>
      <c r="I250" s="3">
        <v>2</v>
      </c>
      <c r="J250" s="3">
        <v>474.54</v>
      </c>
    </row>
    <row r="251" spans="1:10" ht="30.75" thickBot="1" x14ac:dyDescent="0.3">
      <c r="A251" s="1" t="s">
        <v>269</v>
      </c>
      <c r="B251" s="2">
        <v>45598</v>
      </c>
      <c r="C251" s="2" t="str">
        <f xml:space="preserve"> TEXT(Table1[[#This Row],[Date]], "MMM")</f>
        <v>Nov</v>
      </c>
      <c r="D251" s="2" t="str">
        <f>TEXT(Table1[[#This Row],[Date]], "YYYY")</f>
        <v>2024</v>
      </c>
      <c r="E251" s="1" t="s">
        <v>23</v>
      </c>
      <c r="F251" s="1" t="s">
        <v>16</v>
      </c>
      <c r="G251" s="1" t="s">
        <v>26</v>
      </c>
      <c r="H251" s="3">
        <v>1167.79</v>
      </c>
      <c r="I251" s="3">
        <v>7</v>
      </c>
      <c r="J251" s="3">
        <v>120.58</v>
      </c>
    </row>
    <row r="252" spans="1:10" ht="30.75" thickBot="1" x14ac:dyDescent="0.3">
      <c r="A252" s="1" t="s">
        <v>270</v>
      </c>
      <c r="B252" s="2">
        <v>45499</v>
      </c>
      <c r="C252" s="2" t="str">
        <f xml:space="preserve"> TEXT(Table1[[#This Row],[Date]], "MMM")</f>
        <v>Jul</v>
      </c>
      <c r="D252" s="2" t="str">
        <f>TEXT(Table1[[#This Row],[Date]], "YYYY")</f>
        <v>2024</v>
      </c>
      <c r="E252" s="1" t="s">
        <v>13</v>
      </c>
      <c r="F252" s="1" t="s">
        <v>10</v>
      </c>
      <c r="G252" s="1" t="s">
        <v>26</v>
      </c>
      <c r="H252" s="3">
        <v>4498.8100000000004</v>
      </c>
      <c r="I252" s="3">
        <v>7</v>
      </c>
      <c r="J252" s="3">
        <v>521.91999999999996</v>
      </c>
    </row>
    <row r="253" spans="1:10" ht="30.75" thickBot="1" x14ac:dyDescent="0.3">
      <c r="A253" s="1" t="s">
        <v>271</v>
      </c>
      <c r="B253" s="2">
        <v>45588</v>
      </c>
      <c r="C253" s="2" t="str">
        <f xml:space="preserve"> TEXT(Table1[[#This Row],[Date]], "MMM")</f>
        <v>Oct</v>
      </c>
      <c r="D253" s="2" t="str">
        <f>TEXT(Table1[[#This Row],[Date]], "YYYY")</f>
        <v>2024</v>
      </c>
      <c r="E253" s="1" t="s">
        <v>15</v>
      </c>
      <c r="F253" s="1" t="s">
        <v>16</v>
      </c>
      <c r="G253" s="1" t="s">
        <v>11</v>
      </c>
      <c r="H253" s="3">
        <v>3229.24</v>
      </c>
      <c r="I253" s="3">
        <v>7</v>
      </c>
      <c r="J253" s="3">
        <v>416.62</v>
      </c>
    </row>
    <row r="254" spans="1:10" ht="30.75" thickBot="1" x14ac:dyDescent="0.3">
      <c r="A254" s="1" t="s">
        <v>272</v>
      </c>
      <c r="B254" s="2">
        <v>45146</v>
      </c>
      <c r="C254" s="2" t="str">
        <f xml:space="preserve"> TEXT(Table1[[#This Row],[Date]], "MMM")</f>
        <v>Aug</v>
      </c>
      <c r="D254" s="2" t="str">
        <f>TEXT(Table1[[#This Row],[Date]], "YYYY")</f>
        <v>2023</v>
      </c>
      <c r="E254" s="1" t="s">
        <v>23</v>
      </c>
      <c r="F254" s="1" t="s">
        <v>16</v>
      </c>
      <c r="G254" s="1" t="s">
        <v>19</v>
      </c>
      <c r="H254" s="3">
        <v>5896.59</v>
      </c>
      <c r="I254" s="3">
        <v>6</v>
      </c>
      <c r="J254" s="3">
        <v>759.18</v>
      </c>
    </row>
    <row r="255" spans="1:10" ht="30.75" thickBot="1" x14ac:dyDescent="0.3">
      <c r="A255" s="1" t="s">
        <v>273</v>
      </c>
      <c r="B255" s="2">
        <v>45085</v>
      </c>
      <c r="C255" s="2" t="str">
        <f xml:space="preserve"> TEXT(Table1[[#This Row],[Date]], "MMM")</f>
        <v>Jun</v>
      </c>
      <c r="D255" s="2" t="str">
        <f>TEXT(Table1[[#This Row],[Date]], "YYYY")</f>
        <v>2023</v>
      </c>
      <c r="E255" s="1" t="s">
        <v>15</v>
      </c>
      <c r="F255" s="1" t="s">
        <v>16</v>
      </c>
      <c r="G255" s="1" t="s">
        <v>19</v>
      </c>
      <c r="H255" s="3">
        <v>709.66</v>
      </c>
      <c r="I255" s="3">
        <v>2</v>
      </c>
      <c r="J255" s="3">
        <v>250.72</v>
      </c>
    </row>
    <row r="256" spans="1:10" ht="30.75" thickBot="1" x14ac:dyDescent="0.3">
      <c r="A256" s="1" t="s">
        <v>274</v>
      </c>
      <c r="B256" s="2">
        <v>45604</v>
      </c>
      <c r="C256" s="2" t="str">
        <f xml:space="preserve"> TEXT(Table1[[#This Row],[Date]], "MMM")</f>
        <v>Nov</v>
      </c>
      <c r="D256" s="2" t="str">
        <f>TEXT(Table1[[#This Row],[Date]], "YYYY")</f>
        <v>2024</v>
      </c>
      <c r="E256" s="1" t="s">
        <v>25</v>
      </c>
      <c r="F256" s="1" t="s">
        <v>16</v>
      </c>
      <c r="G256" s="1" t="s">
        <v>11</v>
      </c>
      <c r="H256" s="3">
        <v>5687.31</v>
      </c>
      <c r="I256" s="3">
        <v>6</v>
      </c>
      <c r="J256" s="3">
        <v>703.59</v>
      </c>
    </row>
    <row r="257" spans="1:10" ht="30.75" thickBot="1" x14ac:dyDescent="0.3">
      <c r="A257" s="1" t="s">
        <v>275</v>
      </c>
      <c r="B257" s="2">
        <v>45084</v>
      </c>
      <c r="C257" s="2" t="str">
        <f xml:space="preserve"> TEXT(Table1[[#This Row],[Date]], "MMM")</f>
        <v>Jun</v>
      </c>
      <c r="D257" s="2" t="str">
        <f>TEXT(Table1[[#This Row],[Date]], "YYYY")</f>
        <v>2023</v>
      </c>
      <c r="E257" s="1" t="s">
        <v>25</v>
      </c>
      <c r="F257" s="1" t="s">
        <v>16</v>
      </c>
      <c r="G257" s="1" t="s">
        <v>21</v>
      </c>
      <c r="H257" s="3">
        <v>665.41</v>
      </c>
      <c r="I257" s="3">
        <v>3</v>
      </c>
      <c r="J257" s="3">
        <v>161.06</v>
      </c>
    </row>
    <row r="258" spans="1:10" ht="30.75" thickBot="1" x14ac:dyDescent="0.3">
      <c r="A258" s="1" t="s">
        <v>276</v>
      </c>
      <c r="B258" s="2">
        <v>45375</v>
      </c>
      <c r="C258" s="2" t="str">
        <f xml:space="preserve"> TEXT(Table1[[#This Row],[Date]], "MMM")</f>
        <v>Mar</v>
      </c>
      <c r="D258" s="2" t="str">
        <f>TEXT(Table1[[#This Row],[Date]], "YYYY")</f>
        <v>2024</v>
      </c>
      <c r="E258" s="1" t="s">
        <v>25</v>
      </c>
      <c r="F258" s="1" t="s">
        <v>16</v>
      </c>
      <c r="G258" s="1" t="s">
        <v>19</v>
      </c>
      <c r="H258" s="3">
        <v>466.63</v>
      </c>
      <c r="I258" s="3">
        <v>1</v>
      </c>
      <c r="J258" s="3">
        <v>340.47</v>
      </c>
    </row>
    <row r="259" spans="1:10" ht="30.75" thickBot="1" x14ac:dyDescent="0.3">
      <c r="A259" s="1" t="s">
        <v>277</v>
      </c>
      <c r="B259" s="2">
        <v>45552</v>
      </c>
      <c r="C259" s="2" t="str">
        <f xml:space="preserve"> TEXT(Table1[[#This Row],[Date]], "MMM")</f>
        <v>Sep</v>
      </c>
      <c r="D259" s="2" t="str">
        <f>TEXT(Table1[[#This Row],[Date]], "YYYY")</f>
        <v>2024</v>
      </c>
      <c r="E259" s="1" t="s">
        <v>15</v>
      </c>
      <c r="F259" s="1" t="s">
        <v>16</v>
      </c>
      <c r="G259" s="1" t="s">
        <v>21</v>
      </c>
      <c r="H259" s="3">
        <v>4289.1099999999997</v>
      </c>
      <c r="I259" s="3">
        <v>5</v>
      </c>
      <c r="J259" s="3">
        <v>606.87</v>
      </c>
    </row>
    <row r="260" spans="1:10" ht="30.75" thickBot="1" x14ac:dyDescent="0.3">
      <c r="A260" s="1" t="s">
        <v>278</v>
      </c>
      <c r="B260" s="2">
        <v>45243</v>
      </c>
      <c r="C260" s="2" t="str">
        <f xml:space="preserve"> TEXT(Table1[[#This Row],[Date]], "MMM")</f>
        <v>Nov</v>
      </c>
      <c r="D260" s="2" t="str">
        <f>TEXT(Table1[[#This Row],[Date]], "YYYY")</f>
        <v>2023</v>
      </c>
      <c r="E260" s="1" t="s">
        <v>15</v>
      </c>
      <c r="F260" s="1" t="s">
        <v>16</v>
      </c>
      <c r="G260" s="1" t="s">
        <v>19</v>
      </c>
      <c r="H260" s="3">
        <v>6831.06</v>
      </c>
      <c r="I260" s="3">
        <v>8</v>
      </c>
      <c r="J260" s="3">
        <v>725.1</v>
      </c>
    </row>
    <row r="261" spans="1:10" ht="30.75" thickBot="1" x14ac:dyDescent="0.3">
      <c r="A261" s="1" t="s">
        <v>279</v>
      </c>
      <c r="B261" s="2">
        <v>45399</v>
      </c>
      <c r="C261" s="2" t="str">
        <f xml:space="preserve"> TEXT(Table1[[#This Row],[Date]], "MMM")</f>
        <v>Apr</v>
      </c>
      <c r="D261" s="2" t="str">
        <f>TEXT(Table1[[#This Row],[Date]], "YYYY")</f>
        <v>2024</v>
      </c>
      <c r="E261" s="1" t="s">
        <v>9</v>
      </c>
      <c r="F261" s="1" t="s">
        <v>10</v>
      </c>
      <c r="G261" s="1" t="s">
        <v>21</v>
      </c>
      <c r="H261" s="3">
        <v>4078.75</v>
      </c>
      <c r="I261" s="3">
        <v>5</v>
      </c>
      <c r="J261" s="3">
        <v>626.94000000000005</v>
      </c>
    </row>
    <row r="262" spans="1:10" ht="30.75" thickBot="1" x14ac:dyDescent="0.3">
      <c r="A262" s="1" t="s">
        <v>280</v>
      </c>
      <c r="B262" s="2">
        <v>45131</v>
      </c>
      <c r="C262" s="2" t="str">
        <f xml:space="preserve"> TEXT(Table1[[#This Row],[Date]], "MMM")</f>
        <v>Jul</v>
      </c>
      <c r="D262" s="2" t="str">
        <f>TEXT(Table1[[#This Row],[Date]], "YYYY")</f>
        <v>2023</v>
      </c>
      <c r="E262" s="1" t="s">
        <v>18</v>
      </c>
      <c r="F262" s="1" t="s">
        <v>10</v>
      </c>
      <c r="G262" s="1" t="s">
        <v>19</v>
      </c>
      <c r="H262" s="3">
        <v>1535.4</v>
      </c>
      <c r="I262" s="3">
        <v>10</v>
      </c>
      <c r="J262" s="3">
        <v>127.95</v>
      </c>
    </row>
    <row r="263" spans="1:10" ht="30.75" thickBot="1" x14ac:dyDescent="0.3">
      <c r="A263" s="1" t="s">
        <v>281</v>
      </c>
      <c r="B263" s="2">
        <v>45307</v>
      </c>
      <c r="C263" s="2" t="str">
        <f xml:space="preserve"> TEXT(Table1[[#This Row],[Date]], "MMM")</f>
        <v>Jan</v>
      </c>
      <c r="D263" s="2" t="str">
        <f>TEXT(Table1[[#This Row],[Date]], "YYYY")</f>
        <v>2024</v>
      </c>
      <c r="E263" s="1" t="s">
        <v>9</v>
      </c>
      <c r="F263" s="1" t="s">
        <v>10</v>
      </c>
      <c r="G263" s="1" t="s">
        <v>21</v>
      </c>
      <c r="H263" s="3">
        <v>9330.2099999999991</v>
      </c>
      <c r="I263" s="3">
        <v>9</v>
      </c>
      <c r="J263" s="3">
        <v>748.75</v>
      </c>
    </row>
    <row r="264" spans="1:10" ht="30.75" thickBot="1" x14ac:dyDescent="0.3">
      <c r="A264" s="1" t="s">
        <v>282</v>
      </c>
      <c r="B264" s="2">
        <v>45218</v>
      </c>
      <c r="C264" s="2" t="str">
        <f xml:space="preserve"> TEXT(Table1[[#This Row],[Date]], "MMM")</f>
        <v>Oct</v>
      </c>
      <c r="D264" s="2" t="str">
        <f>TEXT(Table1[[#This Row],[Date]], "YYYY")</f>
        <v>2023</v>
      </c>
      <c r="E264" s="1" t="s">
        <v>25</v>
      </c>
      <c r="F264" s="1" t="s">
        <v>16</v>
      </c>
      <c r="G264" s="1" t="s">
        <v>11</v>
      </c>
      <c r="H264" s="3">
        <v>1487.77</v>
      </c>
      <c r="I264" s="3">
        <v>2</v>
      </c>
      <c r="J264" s="3">
        <v>615.23</v>
      </c>
    </row>
    <row r="265" spans="1:10" ht="30.75" thickBot="1" x14ac:dyDescent="0.3">
      <c r="A265" s="1" t="s">
        <v>283</v>
      </c>
      <c r="B265" s="2">
        <v>45374</v>
      </c>
      <c r="C265" s="2" t="str">
        <f xml:space="preserve"> TEXT(Table1[[#This Row],[Date]], "MMM")</f>
        <v>Mar</v>
      </c>
      <c r="D265" s="2" t="str">
        <f>TEXT(Table1[[#This Row],[Date]], "YYYY")</f>
        <v>2024</v>
      </c>
      <c r="E265" s="1" t="s">
        <v>25</v>
      </c>
      <c r="F265" s="1" t="s">
        <v>16</v>
      </c>
      <c r="G265" s="1" t="s">
        <v>19</v>
      </c>
      <c r="H265" s="3">
        <v>1802.72</v>
      </c>
      <c r="I265" s="3">
        <v>2</v>
      </c>
      <c r="J265" s="3">
        <v>758.2</v>
      </c>
    </row>
    <row r="266" spans="1:10" ht="30.75" thickBot="1" x14ac:dyDescent="0.3">
      <c r="A266" s="1" t="s">
        <v>284</v>
      </c>
      <c r="B266" s="2">
        <v>44954</v>
      </c>
      <c r="C266" s="2" t="str">
        <f xml:space="preserve"> TEXT(Table1[[#This Row],[Date]], "MMM")</f>
        <v>Jan</v>
      </c>
      <c r="D266" s="2" t="str">
        <f>TEXT(Table1[[#This Row],[Date]], "YYYY")</f>
        <v>2023</v>
      </c>
      <c r="E266" s="1" t="s">
        <v>18</v>
      </c>
      <c r="F266" s="1" t="s">
        <v>10</v>
      </c>
      <c r="G266" s="1" t="s">
        <v>26</v>
      </c>
      <c r="H266" s="3">
        <v>560.36</v>
      </c>
      <c r="I266" s="3">
        <v>7</v>
      </c>
      <c r="J266" s="3">
        <v>61.54</v>
      </c>
    </row>
    <row r="267" spans="1:10" ht="30.75" thickBot="1" x14ac:dyDescent="0.3">
      <c r="A267" s="1" t="s">
        <v>285</v>
      </c>
      <c r="B267" s="2">
        <v>45010</v>
      </c>
      <c r="C267" s="2" t="str">
        <f xml:space="preserve"> TEXT(Table1[[#This Row],[Date]], "MMM")</f>
        <v>Mar</v>
      </c>
      <c r="D267" s="2" t="str">
        <f>TEXT(Table1[[#This Row],[Date]], "YYYY")</f>
        <v>2023</v>
      </c>
      <c r="E267" s="1" t="s">
        <v>15</v>
      </c>
      <c r="F267" s="1" t="s">
        <v>16</v>
      </c>
      <c r="G267" s="1" t="s">
        <v>21</v>
      </c>
      <c r="H267" s="3">
        <v>1437.18</v>
      </c>
      <c r="I267" s="3">
        <v>6</v>
      </c>
      <c r="J267" s="3">
        <v>195.14</v>
      </c>
    </row>
    <row r="268" spans="1:10" ht="30.75" thickBot="1" x14ac:dyDescent="0.3">
      <c r="A268" s="1" t="s">
        <v>286</v>
      </c>
      <c r="B268" s="2">
        <v>45076</v>
      </c>
      <c r="C268" s="2" t="str">
        <f xml:space="preserve"> TEXT(Table1[[#This Row],[Date]], "MMM")</f>
        <v>May</v>
      </c>
      <c r="D268" s="2" t="str">
        <f>TEXT(Table1[[#This Row],[Date]], "YYYY")</f>
        <v>2023</v>
      </c>
      <c r="E268" s="1" t="s">
        <v>13</v>
      </c>
      <c r="F268" s="1" t="s">
        <v>10</v>
      </c>
      <c r="G268" s="1" t="s">
        <v>26</v>
      </c>
      <c r="H268" s="3">
        <v>219.52</v>
      </c>
      <c r="I268" s="3">
        <v>3</v>
      </c>
      <c r="J268" s="3">
        <v>49.88</v>
      </c>
    </row>
    <row r="269" spans="1:10" ht="30.75" thickBot="1" x14ac:dyDescent="0.3">
      <c r="A269" s="1" t="s">
        <v>287</v>
      </c>
      <c r="B269" s="2">
        <v>45649</v>
      </c>
      <c r="C269" s="2" t="str">
        <f xml:space="preserve"> TEXT(Table1[[#This Row],[Date]], "MMM")</f>
        <v>Dec</v>
      </c>
      <c r="D269" s="2" t="str">
        <f>TEXT(Table1[[#This Row],[Date]], "YYYY")</f>
        <v>2024</v>
      </c>
      <c r="E269" s="1" t="s">
        <v>18</v>
      </c>
      <c r="F269" s="1" t="s">
        <v>10</v>
      </c>
      <c r="G269" s="1" t="s">
        <v>19</v>
      </c>
      <c r="H269" s="3">
        <v>3261.42</v>
      </c>
      <c r="I269" s="3">
        <v>8</v>
      </c>
      <c r="J269" s="3">
        <v>369.91</v>
      </c>
    </row>
    <row r="270" spans="1:10" ht="30.75" thickBot="1" x14ac:dyDescent="0.3">
      <c r="A270" s="1" t="s">
        <v>288</v>
      </c>
      <c r="B270" s="2">
        <v>45189</v>
      </c>
      <c r="C270" s="2" t="str">
        <f xml:space="preserve"> TEXT(Table1[[#This Row],[Date]], "MMM")</f>
        <v>Sep</v>
      </c>
      <c r="D270" s="2" t="str">
        <f>TEXT(Table1[[#This Row],[Date]], "YYYY")</f>
        <v>2023</v>
      </c>
      <c r="E270" s="1" t="s">
        <v>13</v>
      </c>
      <c r="F270" s="1" t="s">
        <v>10</v>
      </c>
      <c r="G270" s="1" t="s">
        <v>11</v>
      </c>
      <c r="H270" s="3">
        <v>3543.02</v>
      </c>
      <c r="I270" s="3">
        <v>4</v>
      </c>
      <c r="J270" s="3">
        <v>671.27</v>
      </c>
    </row>
    <row r="271" spans="1:10" ht="30.75" thickBot="1" x14ac:dyDescent="0.3">
      <c r="A271" s="1" t="s">
        <v>289</v>
      </c>
      <c r="B271" s="2">
        <v>45040</v>
      </c>
      <c r="C271" s="2" t="str">
        <f xml:space="preserve"> TEXT(Table1[[#This Row],[Date]], "MMM")</f>
        <v>Apr</v>
      </c>
      <c r="D271" s="2" t="str">
        <f>TEXT(Table1[[#This Row],[Date]], "YYYY")</f>
        <v>2023</v>
      </c>
      <c r="E271" s="1" t="s">
        <v>9</v>
      </c>
      <c r="F271" s="1" t="s">
        <v>10</v>
      </c>
      <c r="G271" s="1" t="s">
        <v>21</v>
      </c>
      <c r="H271" s="3">
        <v>1179.53</v>
      </c>
      <c r="I271" s="3">
        <v>5</v>
      </c>
      <c r="J271" s="3">
        <v>205.36</v>
      </c>
    </row>
    <row r="272" spans="1:10" ht="30.75" thickBot="1" x14ac:dyDescent="0.3">
      <c r="A272" s="1" t="s">
        <v>290</v>
      </c>
      <c r="B272" s="2">
        <v>45581</v>
      </c>
      <c r="C272" s="2" t="str">
        <f xml:space="preserve"> TEXT(Table1[[#This Row],[Date]], "MMM")</f>
        <v>Oct</v>
      </c>
      <c r="D272" s="2" t="str">
        <f>TEXT(Table1[[#This Row],[Date]], "YYYY")</f>
        <v>2024</v>
      </c>
      <c r="E272" s="1" t="s">
        <v>15</v>
      </c>
      <c r="F272" s="1" t="s">
        <v>16</v>
      </c>
      <c r="G272" s="1" t="s">
        <v>21</v>
      </c>
      <c r="H272" s="3">
        <v>4309.0200000000004</v>
      </c>
      <c r="I272" s="3">
        <v>10</v>
      </c>
      <c r="J272" s="3">
        <v>376.55</v>
      </c>
    </row>
    <row r="273" spans="1:10" ht="30.75" thickBot="1" x14ac:dyDescent="0.3">
      <c r="A273" s="1" t="s">
        <v>291</v>
      </c>
      <c r="B273" s="2">
        <v>45574</v>
      </c>
      <c r="C273" s="2" t="str">
        <f xml:space="preserve"> TEXT(Table1[[#This Row],[Date]], "MMM")</f>
        <v>Oct</v>
      </c>
      <c r="D273" s="2" t="str">
        <f>TEXT(Table1[[#This Row],[Date]], "YYYY")</f>
        <v>2024</v>
      </c>
      <c r="E273" s="1" t="s">
        <v>18</v>
      </c>
      <c r="F273" s="1" t="s">
        <v>10</v>
      </c>
      <c r="G273" s="1" t="s">
        <v>11</v>
      </c>
      <c r="H273" s="3">
        <v>5850.55</v>
      </c>
      <c r="I273" s="3">
        <v>9</v>
      </c>
      <c r="J273" s="3">
        <v>468.54</v>
      </c>
    </row>
    <row r="274" spans="1:10" ht="30.75" thickBot="1" x14ac:dyDescent="0.3">
      <c r="A274" s="1" t="s">
        <v>292</v>
      </c>
      <c r="B274" s="2">
        <v>44928</v>
      </c>
      <c r="C274" s="2" t="str">
        <f xml:space="preserve"> TEXT(Table1[[#This Row],[Date]], "MMM")</f>
        <v>Jan</v>
      </c>
      <c r="D274" s="2" t="str">
        <f>TEXT(Table1[[#This Row],[Date]], "YYYY")</f>
        <v>2023</v>
      </c>
      <c r="E274" s="1" t="s">
        <v>23</v>
      </c>
      <c r="F274" s="1" t="s">
        <v>16</v>
      </c>
      <c r="G274" s="1" t="s">
        <v>21</v>
      </c>
      <c r="H274" s="3">
        <v>3921.04</v>
      </c>
      <c r="I274" s="3">
        <v>10</v>
      </c>
      <c r="J274" s="3">
        <v>295.2</v>
      </c>
    </row>
    <row r="275" spans="1:10" ht="30.75" thickBot="1" x14ac:dyDescent="0.3">
      <c r="A275" s="1" t="s">
        <v>293</v>
      </c>
      <c r="B275" s="2">
        <v>45463</v>
      </c>
      <c r="C275" s="2" t="str">
        <f xml:space="preserve"> TEXT(Table1[[#This Row],[Date]], "MMM")</f>
        <v>Jun</v>
      </c>
      <c r="D275" s="2" t="str">
        <f>TEXT(Table1[[#This Row],[Date]], "YYYY")</f>
        <v>2024</v>
      </c>
      <c r="E275" s="1" t="s">
        <v>15</v>
      </c>
      <c r="F275" s="1" t="s">
        <v>16</v>
      </c>
      <c r="G275" s="1" t="s">
        <v>11</v>
      </c>
      <c r="H275" s="3">
        <v>572.30999999999995</v>
      </c>
      <c r="I275" s="3">
        <v>6</v>
      </c>
      <c r="J275" s="3">
        <v>72.790000000000006</v>
      </c>
    </row>
    <row r="276" spans="1:10" ht="30.75" thickBot="1" x14ac:dyDescent="0.3">
      <c r="A276" s="1" t="s">
        <v>294</v>
      </c>
      <c r="B276" s="2">
        <v>45326</v>
      </c>
      <c r="C276" s="2" t="str">
        <f xml:space="preserve"> TEXT(Table1[[#This Row],[Date]], "MMM")</f>
        <v>Feb</v>
      </c>
      <c r="D276" s="2" t="str">
        <f>TEXT(Table1[[#This Row],[Date]], "YYYY")</f>
        <v>2024</v>
      </c>
      <c r="E276" s="1" t="s">
        <v>25</v>
      </c>
      <c r="F276" s="1" t="s">
        <v>16</v>
      </c>
      <c r="G276" s="1" t="s">
        <v>11</v>
      </c>
      <c r="H276" s="3">
        <v>541.65</v>
      </c>
      <c r="I276" s="3">
        <v>8</v>
      </c>
      <c r="J276" s="3">
        <v>53.96</v>
      </c>
    </row>
    <row r="277" spans="1:10" ht="30.75" thickBot="1" x14ac:dyDescent="0.3">
      <c r="A277" s="1" t="s">
        <v>295</v>
      </c>
      <c r="B277" s="2">
        <v>44943</v>
      </c>
      <c r="C277" s="2" t="str">
        <f xml:space="preserve"> TEXT(Table1[[#This Row],[Date]], "MMM")</f>
        <v>Jan</v>
      </c>
      <c r="D277" s="2" t="str">
        <f>TEXT(Table1[[#This Row],[Date]], "YYYY")</f>
        <v>2023</v>
      </c>
      <c r="E277" s="1" t="s">
        <v>23</v>
      </c>
      <c r="F277" s="1" t="s">
        <v>16</v>
      </c>
      <c r="G277" s="1" t="s">
        <v>26</v>
      </c>
      <c r="H277" s="3">
        <v>4716.8500000000004</v>
      </c>
      <c r="I277" s="3">
        <v>6</v>
      </c>
      <c r="J277" s="3">
        <v>635.04999999999995</v>
      </c>
    </row>
    <row r="278" spans="1:10" ht="30.75" thickBot="1" x14ac:dyDescent="0.3">
      <c r="A278" s="1" t="s">
        <v>296</v>
      </c>
      <c r="B278" s="2">
        <v>45522</v>
      </c>
      <c r="C278" s="2" t="str">
        <f xml:space="preserve"> TEXT(Table1[[#This Row],[Date]], "MMM")</f>
        <v>Aug</v>
      </c>
      <c r="D278" s="2" t="str">
        <f>TEXT(Table1[[#This Row],[Date]], "YYYY")</f>
        <v>2024</v>
      </c>
      <c r="E278" s="1" t="s">
        <v>9</v>
      </c>
      <c r="F278" s="1" t="s">
        <v>10</v>
      </c>
      <c r="G278" s="1" t="s">
        <v>11</v>
      </c>
      <c r="H278" s="3">
        <v>923.69</v>
      </c>
      <c r="I278" s="3">
        <v>6</v>
      </c>
      <c r="J278" s="3">
        <v>124.06</v>
      </c>
    </row>
    <row r="279" spans="1:10" ht="30.75" thickBot="1" x14ac:dyDescent="0.3">
      <c r="A279" s="1" t="s">
        <v>297</v>
      </c>
      <c r="B279" s="2">
        <v>45628</v>
      </c>
      <c r="C279" s="2" t="str">
        <f xml:space="preserve"> TEXT(Table1[[#This Row],[Date]], "MMM")</f>
        <v>Dec</v>
      </c>
      <c r="D279" s="2" t="str">
        <f>TEXT(Table1[[#This Row],[Date]], "YYYY")</f>
        <v>2024</v>
      </c>
      <c r="E279" s="1" t="s">
        <v>23</v>
      </c>
      <c r="F279" s="1" t="s">
        <v>16</v>
      </c>
      <c r="G279" s="1" t="s">
        <v>19</v>
      </c>
      <c r="H279" s="3">
        <v>8110.48</v>
      </c>
      <c r="I279" s="3">
        <v>8</v>
      </c>
      <c r="J279" s="3">
        <v>785.04</v>
      </c>
    </row>
    <row r="280" spans="1:10" ht="30.75" thickBot="1" x14ac:dyDescent="0.3">
      <c r="A280" s="1" t="s">
        <v>298</v>
      </c>
      <c r="B280" s="2">
        <v>44991</v>
      </c>
      <c r="C280" s="2" t="str">
        <f xml:space="preserve"> TEXT(Table1[[#This Row],[Date]], "MMM")</f>
        <v>Mar</v>
      </c>
      <c r="D280" s="2" t="str">
        <f>TEXT(Table1[[#This Row],[Date]], "YYYY")</f>
        <v>2023</v>
      </c>
      <c r="E280" s="1" t="s">
        <v>15</v>
      </c>
      <c r="F280" s="1" t="s">
        <v>16</v>
      </c>
      <c r="G280" s="1" t="s">
        <v>19</v>
      </c>
      <c r="H280" s="3">
        <v>461.39</v>
      </c>
      <c r="I280" s="3">
        <v>8</v>
      </c>
      <c r="J280" s="3">
        <v>48.85</v>
      </c>
    </row>
    <row r="281" spans="1:10" ht="30.75" thickBot="1" x14ac:dyDescent="0.3">
      <c r="A281" s="1" t="s">
        <v>299</v>
      </c>
      <c r="B281" s="2">
        <v>45250</v>
      </c>
      <c r="C281" s="2" t="str">
        <f xml:space="preserve"> TEXT(Table1[[#This Row],[Date]], "MMM")</f>
        <v>Nov</v>
      </c>
      <c r="D281" s="2" t="str">
        <f>TEXT(Table1[[#This Row],[Date]], "YYYY")</f>
        <v>2023</v>
      </c>
      <c r="E281" s="1" t="s">
        <v>15</v>
      </c>
      <c r="F281" s="1" t="s">
        <v>16</v>
      </c>
      <c r="G281" s="1" t="s">
        <v>11</v>
      </c>
      <c r="H281" s="3">
        <v>3155.82</v>
      </c>
      <c r="I281" s="3">
        <v>5</v>
      </c>
      <c r="J281" s="3">
        <v>422</v>
      </c>
    </row>
    <row r="282" spans="1:10" ht="30.75" thickBot="1" x14ac:dyDescent="0.3">
      <c r="A282" s="1" t="s">
        <v>300</v>
      </c>
      <c r="B282" s="2">
        <v>45186</v>
      </c>
      <c r="C282" s="2" t="str">
        <f xml:space="preserve"> TEXT(Table1[[#This Row],[Date]], "MMM")</f>
        <v>Sep</v>
      </c>
      <c r="D282" s="2" t="str">
        <f>TEXT(Table1[[#This Row],[Date]], "YYYY")</f>
        <v>2023</v>
      </c>
      <c r="E282" s="1" t="s">
        <v>25</v>
      </c>
      <c r="F282" s="1" t="s">
        <v>16</v>
      </c>
      <c r="G282" s="1" t="s">
        <v>21</v>
      </c>
      <c r="H282" s="3">
        <v>714.77</v>
      </c>
      <c r="I282" s="3">
        <v>1</v>
      </c>
      <c r="J282" s="3">
        <v>607.57000000000005</v>
      </c>
    </row>
    <row r="283" spans="1:10" ht="30.75" thickBot="1" x14ac:dyDescent="0.3">
      <c r="A283" s="1" t="s">
        <v>301</v>
      </c>
      <c r="B283" s="2">
        <v>45598</v>
      </c>
      <c r="C283" s="2" t="str">
        <f xml:space="preserve"> TEXT(Table1[[#This Row],[Date]], "MMM")</f>
        <v>Nov</v>
      </c>
      <c r="D283" s="2" t="str">
        <f>TEXT(Table1[[#This Row],[Date]], "YYYY")</f>
        <v>2024</v>
      </c>
      <c r="E283" s="1" t="s">
        <v>23</v>
      </c>
      <c r="F283" s="1" t="s">
        <v>16</v>
      </c>
      <c r="G283" s="1" t="s">
        <v>11</v>
      </c>
      <c r="H283" s="3">
        <v>1985.73</v>
      </c>
      <c r="I283" s="3">
        <v>6</v>
      </c>
      <c r="J283" s="3">
        <v>233.11</v>
      </c>
    </row>
    <row r="284" spans="1:10" ht="30.75" thickBot="1" x14ac:dyDescent="0.3">
      <c r="A284" s="1" t="s">
        <v>302</v>
      </c>
      <c r="B284" s="2">
        <v>45377</v>
      </c>
      <c r="C284" s="2" t="str">
        <f xml:space="preserve"> TEXT(Table1[[#This Row],[Date]], "MMM")</f>
        <v>Mar</v>
      </c>
      <c r="D284" s="2" t="str">
        <f>TEXT(Table1[[#This Row],[Date]], "YYYY")</f>
        <v>2024</v>
      </c>
      <c r="E284" s="1" t="s">
        <v>18</v>
      </c>
      <c r="F284" s="1" t="s">
        <v>10</v>
      </c>
      <c r="G284" s="1" t="s">
        <v>21</v>
      </c>
      <c r="H284" s="3">
        <v>2339.06</v>
      </c>
      <c r="I284" s="3">
        <v>7</v>
      </c>
      <c r="J284" s="3">
        <v>284.45</v>
      </c>
    </row>
    <row r="285" spans="1:10" ht="30.75" thickBot="1" x14ac:dyDescent="0.3">
      <c r="A285" s="1" t="s">
        <v>303</v>
      </c>
      <c r="B285" s="2">
        <v>45303</v>
      </c>
      <c r="C285" s="2" t="str">
        <f xml:space="preserve"> TEXT(Table1[[#This Row],[Date]], "MMM")</f>
        <v>Jan</v>
      </c>
      <c r="D285" s="2" t="str">
        <f>TEXT(Table1[[#This Row],[Date]], "YYYY")</f>
        <v>2024</v>
      </c>
      <c r="E285" s="1" t="s">
        <v>9</v>
      </c>
      <c r="F285" s="1" t="s">
        <v>10</v>
      </c>
      <c r="G285" s="1" t="s">
        <v>21</v>
      </c>
      <c r="H285" s="3">
        <v>2325.42</v>
      </c>
      <c r="I285" s="3">
        <v>9</v>
      </c>
      <c r="J285" s="3">
        <v>228.04</v>
      </c>
    </row>
    <row r="286" spans="1:10" ht="30.75" thickBot="1" x14ac:dyDescent="0.3">
      <c r="A286" s="1" t="s">
        <v>304</v>
      </c>
      <c r="B286" s="2">
        <v>45367</v>
      </c>
      <c r="C286" s="2" t="str">
        <f xml:space="preserve"> TEXT(Table1[[#This Row],[Date]], "MMM")</f>
        <v>Mar</v>
      </c>
      <c r="D286" s="2" t="str">
        <f>TEXT(Table1[[#This Row],[Date]], "YYYY")</f>
        <v>2024</v>
      </c>
      <c r="E286" s="1" t="s">
        <v>18</v>
      </c>
      <c r="F286" s="1" t="s">
        <v>10</v>
      </c>
      <c r="G286" s="1" t="s">
        <v>11</v>
      </c>
      <c r="H286" s="3">
        <v>9332.68</v>
      </c>
      <c r="I286" s="3">
        <v>10</v>
      </c>
      <c r="J286" s="3">
        <v>796.18</v>
      </c>
    </row>
    <row r="287" spans="1:10" ht="30.75" thickBot="1" x14ac:dyDescent="0.3">
      <c r="A287" s="1" t="s">
        <v>305</v>
      </c>
      <c r="B287" s="2">
        <v>45032</v>
      </c>
      <c r="C287" s="2" t="str">
        <f xml:space="preserve"> TEXT(Table1[[#This Row],[Date]], "MMM")</f>
        <v>Apr</v>
      </c>
      <c r="D287" s="2" t="str">
        <f>TEXT(Table1[[#This Row],[Date]], "YYYY")</f>
        <v>2023</v>
      </c>
      <c r="E287" s="1" t="s">
        <v>23</v>
      </c>
      <c r="F287" s="1" t="s">
        <v>16</v>
      </c>
      <c r="G287" s="1" t="s">
        <v>26</v>
      </c>
      <c r="H287" s="3">
        <v>671.94</v>
      </c>
      <c r="I287" s="3">
        <v>2</v>
      </c>
      <c r="J287" s="3">
        <v>275.77999999999997</v>
      </c>
    </row>
    <row r="288" spans="1:10" ht="30.75" thickBot="1" x14ac:dyDescent="0.3">
      <c r="A288" s="1" t="s">
        <v>306</v>
      </c>
      <c r="B288" s="2">
        <v>45097</v>
      </c>
      <c r="C288" s="2" t="str">
        <f xml:space="preserve"> TEXT(Table1[[#This Row],[Date]], "MMM")</f>
        <v>Jun</v>
      </c>
      <c r="D288" s="2" t="str">
        <f>TEXT(Table1[[#This Row],[Date]], "YYYY")</f>
        <v>2023</v>
      </c>
      <c r="E288" s="1" t="s">
        <v>18</v>
      </c>
      <c r="F288" s="1" t="s">
        <v>10</v>
      </c>
      <c r="G288" s="1" t="s">
        <v>21</v>
      </c>
      <c r="H288" s="3">
        <v>2628.92</v>
      </c>
      <c r="I288" s="3">
        <v>8</v>
      </c>
      <c r="J288" s="3">
        <v>294.20999999999998</v>
      </c>
    </row>
    <row r="289" spans="1:10" ht="30.75" thickBot="1" x14ac:dyDescent="0.3">
      <c r="A289" s="1" t="s">
        <v>307</v>
      </c>
      <c r="B289" s="2">
        <v>45208</v>
      </c>
      <c r="C289" s="2" t="str">
        <f xml:space="preserve"> TEXT(Table1[[#This Row],[Date]], "MMM")</f>
        <v>Oct</v>
      </c>
      <c r="D289" s="2" t="str">
        <f>TEXT(Table1[[#This Row],[Date]], "YYYY")</f>
        <v>2023</v>
      </c>
      <c r="E289" s="1" t="s">
        <v>23</v>
      </c>
      <c r="F289" s="1" t="s">
        <v>16</v>
      </c>
      <c r="G289" s="1" t="s">
        <v>21</v>
      </c>
      <c r="H289" s="3">
        <v>106.41</v>
      </c>
      <c r="I289" s="3">
        <v>1</v>
      </c>
      <c r="J289" s="3">
        <v>78.53</v>
      </c>
    </row>
    <row r="290" spans="1:10" ht="30.75" thickBot="1" x14ac:dyDescent="0.3">
      <c r="A290" s="1" t="s">
        <v>308</v>
      </c>
      <c r="B290" s="2">
        <v>44958</v>
      </c>
      <c r="C290" s="2" t="str">
        <f xml:space="preserve"> TEXT(Table1[[#This Row],[Date]], "MMM")</f>
        <v>Feb</v>
      </c>
      <c r="D290" s="2" t="str">
        <f>TEXT(Table1[[#This Row],[Date]], "YYYY")</f>
        <v>2023</v>
      </c>
      <c r="E290" s="1" t="s">
        <v>23</v>
      </c>
      <c r="F290" s="1" t="s">
        <v>16</v>
      </c>
      <c r="G290" s="1" t="s">
        <v>19</v>
      </c>
      <c r="H290" s="3">
        <v>2805.38</v>
      </c>
      <c r="I290" s="3">
        <v>3</v>
      </c>
      <c r="J290" s="3">
        <v>681.96</v>
      </c>
    </row>
    <row r="291" spans="1:10" ht="30.75" thickBot="1" x14ac:dyDescent="0.3">
      <c r="A291" s="1" t="s">
        <v>309</v>
      </c>
      <c r="B291" s="2">
        <v>45056</v>
      </c>
      <c r="C291" s="2" t="str">
        <f xml:space="preserve"> TEXT(Table1[[#This Row],[Date]], "MMM")</f>
        <v>May</v>
      </c>
      <c r="D291" s="2" t="str">
        <f>TEXT(Table1[[#This Row],[Date]], "YYYY")</f>
        <v>2023</v>
      </c>
      <c r="E291" s="1" t="s">
        <v>18</v>
      </c>
      <c r="F291" s="1" t="s">
        <v>10</v>
      </c>
      <c r="G291" s="1" t="s">
        <v>11</v>
      </c>
      <c r="H291" s="3">
        <v>554.30999999999995</v>
      </c>
      <c r="I291" s="3">
        <v>2</v>
      </c>
      <c r="J291" s="3">
        <v>204.08</v>
      </c>
    </row>
    <row r="292" spans="1:10" ht="30.75" thickBot="1" x14ac:dyDescent="0.3">
      <c r="A292" s="1" t="s">
        <v>310</v>
      </c>
      <c r="B292" s="2">
        <v>45507</v>
      </c>
      <c r="C292" s="2" t="str">
        <f xml:space="preserve"> TEXT(Table1[[#This Row],[Date]], "MMM")</f>
        <v>Aug</v>
      </c>
      <c r="D292" s="2" t="str">
        <f>TEXT(Table1[[#This Row],[Date]], "YYYY")</f>
        <v>2024</v>
      </c>
      <c r="E292" s="1" t="s">
        <v>23</v>
      </c>
      <c r="F292" s="1" t="s">
        <v>16</v>
      </c>
      <c r="G292" s="1" t="s">
        <v>21</v>
      </c>
      <c r="H292" s="3">
        <v>674.8</v>
      </c>
      <c r="I292" s="3">
        <v>1</v>
      </c>
      <c r="J292" s="3">
        <v>491.97</v>
      </c>
    </row>
    <row r="293" spans="1:10" ht="30.75" thickBot="1" x14ac:dyDescent="0.3">
      <c r="A293" s="1" t="s">
        <v>311</v>
      </c>
      <c r="B293" s="2">
        <v>45381</v>
      </c>
      <c r="C293" s="2" t="str">
        <f xml:space="preserve"> TEXT(Table1[[#This Row],[Date]], "MMM")</f>
        <v>Mar</v>
      </c>
      <c r="D293" s="2" t="str">
        <f>TEXT(Table1[[#This Row],[Date]], "YYYY")</f>
        <v>2024</v>
      </c>
      <c r="E293" s="1" t="s">
        <v>23</v>
      </c>
      <c r="F293" s="1" t="s">
        <v>16</v>
      </c>
      <c r="G293" s="1" t="s">
        <v>26</v>
      </c>
      <c r="H293" s="3">
        <v>1226.94</v>
      </c>
      <c r="I293" s="3">
        <v>2</v>
      </c>
      <c r="J293" s="3">
        <v>467.66</v>
      </c>
    </row>
    <row r="294" spans="1:10" ht="30.75" thickBot="1" x14ac:dyDescent="0.3">
      <c r="A294" s="1" t="s">
        <v>312</v>
      </c>
      <c r="B294" s="2">
        <v>45592</v>
      </c>
      <c r="C294" s="2" t="str">
        <f xml:space="preserve"> TEXT(Table1[[#This Row],[Date]], "MMM")</f>
        <v>Oct</v>
      </c>
      <c r="D294" s="2" t="str">
        <f>TEXT(Table1[[#This Row],[Date]], "YYYY")</f>
        <v>2024</v>
      </c>
      <c r="E294" s="1" t="s">
        <v>18</v>
      </c>
      <c r="F294" s="1" t="s">
        <v>10</v>
      </c>
      <c r="G294" s="1" t="s">
        <v>26</v>
      </c>
      <c r="H294" s="3">
        <v>1229.56</v>
      </c>
      <c r="I294" s="3">
        <v>5</v>
      </c>
      <c r="J294" s="3">
        <v>214.7</v>
      </c>
    </row>
    <row r="295" spans="1:10" ht="30.75" thickBot="1" x14ac:dyDescent="0.3">
      <c r="A295" s="1" t="s">
        <v>313</v>
      </c>
      <c r="B295" s="2">
        <v>45438</v>
      </c>
      <c r="C295" s="2" t="str">
        <f xml:space="preserve"> TEXT(Table1[[#This Row],[Date]], "MMM")</f>
        <v>May</v>
      </c>
      <c r="D295" s="2" t="str">
        <f>TEXT(Table1[[#This Row],[Date]], "YYYY")</f>
        <v>2024</v>
      </c>
      <c r="E295" s="1" t="s">
        <v>9</v>
      </c>
      <c r="F295" s="1" t="s">
        <v>10</v>
      </c>
      <c r="G295" s="1" t="s">
        <v>19</v>
      </c>
      <c r="H295" s="3">
        <v>3837.1</v>
      </c>
      <c r="I295" s="3">
        <v>9</v>
      </c>
      <c r="J295" s="3">
        <v>321.85000000000002</v>
      </c>
    </row>
    <row r="296" spans="1:10" ht="30.75" thickBot="1" x14ac:dyDescent="0.3">
      <c r="A296" s="1" t="s">
        <v>314</v>
      </c>
      <c r="B296" s="2">
        <v>45647</v>
      </c>
      <c r="C296" s="2" t="str">
        <f xml:space="preserve"> TEXT(Table1[[#This Row],[Date]], "MMM")</f>
        <v>Dec</v>
      </c>
      <c r="D296" s="2" t="str">
        <f>TEXT(Table1[[#This Row],[Date]], "YYYY")</f>
        <v>2024</v>
      </c>
      <c r="E296" s="1" t="s">
        <v>23</v>
      </c>
      <c r="F296" s="1" t="s">
        <v>16</v>
      </c>
      <c r="G296" s="1" t="s">
        <v>26</v>
      </c>
      <c r="H296" s="3">
        <v>2015.62</v>
      </c>
      <c r="I296" s="3">
        <v>8</v>
      </c>
      <c r="J296" s="3">
        <v>187.36</v>
      </c>
    </row>
    <row r="297" spans="1:10" ht="30.75" thickBot="1" x14ac:dyDescent="0.3">
      <c r="A297" s="1" t="s">
        <v>315</v>
      </c>
      <c r="B297" s="2">
        <v>45131</v>
      </c>
      <c r="C297" s="2" t="str">
        <f xml:space="preserve"> TEXT(Table1[[#This Row],[Date]], "MMM")</f>
        <v>Jul</v>
      </c>
      <c r="D297" s="2" t="str">
        <f>TEXT(Table1[[#This Row],[Date]], "YYYY")</f>
        <v>2023</v>
      </c>
      <c r="E297" s="1" t="s">
        <v>9</v>
      </c>
      <c r="F297" s="1" t="s">
        <v>10</v>
      </c>
      <c r="G297" s="1" t="s">
        <v>21</v>
      </c>
      <c r="H297" s="3">
        <v>284.37</v>
      </c>
      <c r="I297" s="3">
        <v>2</v>
      </c>
      <c r="J297" s="3">
        <v>125.87</v>
      </c>
    </row>
    <row r="298" spans="1:10" ht="30.75" thickBot="1" x14ac:dyDescent="0.3">
      <c r="A298" s="1" t="s">
        <v>316</v>
      </c>
      <c r="B298" s="2">
        <v>45016</v>
      </c>
      <c r="C298" s="2" t="str">
        <f xml:space="preserve"> TEXT(Table1[[#This Row],[Date]], "MMM")</f>
        <v>Mar</v>
      </c>
      <c r="D298" s="2" t="str">
        <f>TEXT(Table1[[#This Row],[Date]], "YYYY")</f>
        <v>2023</v>
      </c>
      <c r="E298" s="1" t="s">
        <v>15</v>
      </c>
      <c r="F298" s="1" t="s">
        <v>16</v>
      </c>
      <c r="G298" s="1" t="s">
        <v>21</v>
      </c>
      <c r="H298" s="3">
        <v>4491.2</v>
      </c>
      <c r="I298" s="3">
        <v>6</v>
      </c>
      <c r="J298" s="3">
        <v>540.91999999999996</v>
      </c>
    </row>
    <row r="299" spans="1:10" ht="30.75" thickBot="1" x14ac:dyDescent="0.3">
      <c r="A299" s="1" t="s">
        <v>317</v>
      </c>
      <c r="B299" s="2">
        <v>45234</v>
      </c>
      <c r="C299" s="2" t="str">
        <f xml:space="preserve"> TEXT(Table1[[#This Row],[Date]], "MMM")</f>
        <v>Nov</v>
      </c>
      <c r="D299" s="2" t="str">
        <f>TEXT(Table1[[#This Row],[Date]], "YYYY")</f>
        <v>2023</v>
      </c>
      <c r="E299" s="1" t="s">
        <v>25</v>
      </c>
      <c r="F299" s="1" t="s">
        <v>16</v>
      </c>
      <c r="G299" s="1" t="s">
        <v>26</v>
      </c>
      <c r="H299" s="3">
        <v>2538.2800000000002</v>
      </c>
      <c r="I299" s="3">
        <v>3</v>
      </c>
      <c r="J299" s="3">
        <v>575.21</v>
      </c>
    </row>
    <row r="300" spans="1:10" ht="30.75" thickBot="1" x14ac:dyDescent="0.3">
      <c r="A300" s="1" t="s">
        <v>318</v>
      </c>
      <c r="B300" s="2">
        <v>45297</v>
      </c>
      <c r="C300" s="2" t="str">
        <f xml:space="preserve"> TEXT(Table1[[#This Row],[Date]], "MMM")</f>
        <v>Jan</v>
      </c>
      <c r="D300" s="2" t="str">
        <f>TEXT(Table1[[#This Row],[Date]], "YYYY")</f>
        <v>2024</v>
      </c>
      <c r="E300" s="1" t="s">
        <v>9</v>
      </c>
      <c r="F300" s="1" t="s">
        <v>10</v>
      </c>
      <c r="G300" s="1" t="s">
        <v>19</v>
      </c>
      <c r="H300" s="3">
        <v>2620.85</v>
      </c>
      <c r="I300" s="3">
        <v>9</v>
      </c>
      <c r="J300" s="3">
        <v>194.91</v>
      </c>
    </row>
    <row r="301" spans="1:10" ht="30" x14ac:dyDescent="0.25">
      <c r="A301" s="6" t="s">
        <v>319</v>
      </c>
      <c r="B301" s="7">
        <v>45432</v>
      </c>
      <c r="C301" s="7" t="str">
        <f xml:space="preserve"> TEXT(Table1[[#This Row],[Date]], "MMM")</f>
        <v>May</v>
      </c>
      <c r="D301" s="7" t="str">
        <f>TEXT(Table1[[#This Row],[Date]], "YYYY")</f>
        <v>2024</v>
      </c>
      <c r="E301" s="6" t="s">
        <v>15</v>
      </c>
      <c r="F301" s="6" t="s">
        <v>16</v>
      </c>
      <c r="G301" s="6" t="s">
        <v>19</v>
      </c>
      <c r="H301" s="8">
        <v>400.67</v>
      </c>
      <c r="I301" s="8">
        <v>1</v>
      </c>
      <c r="J301" s="8">
        <v>301.5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5147-47B7-4A86-A531-9B422F68B52B}">
  <dimension ref="A1:X83"/>
  <sheetViews>
    <sheetView zoomScaleNormal="100" workbookViewId="0"/>
  </sheetViews>
  <sheetFormatPr defaultRowHeight="15" x14ac:dyDescent="0.25"/>
  <cols>
    <col min="1" max="1" width="21.140625" bestFit="1" customWidth="1"/>
    <col min="2" max="2" width="14.5703125" bestFit="1" customWidth="1"/>
    <col min="3" max="3" width="15.5703125" bestFit="1" customWidth="1"/>
    <col min="4" max="4" width="13.42578125" bestFit="1" customWidth="1"/>
    <col min="5" max="5" width="12.7109375" bestFit="1" customWidth="1"/>
    <col min="6" max="6" width="21.140625" bestFit="1" customWidth="1"/>
    <col min="7" max="7" width="15" bestFit="1" customWidth="1"/>
    <col min="8" max="8" width="11.28515625" bestFit="1" customWidth="1"/>
    <col min="9" max="9" width="12.85546875" bestFit="1" customWidth="1"/>
    <col min="10" max="10" width="16.85546875" bestFit="1" customWidth="1"/>
    <col min="11" max="11" width="20.5703125" bestFit="1" customWidth="1"/>
    <col min="12" max="12" width="14.5703125" bestFit="1" customWidth="1"/>
    <col min="13" max="13" width="12.5703125" bestFit="1" customWidth="1"/>
    <col min="14" max="14" width="11.28515625" bestFit="1" customWidth="1"/>
    <col min="15" max="15" width="24" bestFit="1" customWidth="1"/>
    <col min="16" max="16" width="16.85546875" bestFit="1" customWidth="1"/>
    <col min="17" max="17" width="15.5703125" bestFit="1" customWidth="1"/>
    <col min="18" max="18" width="16.5703125" bestFit="1" customWidth="1"/>
    <col min="19" max="19" width="12.7109375" bestFit="1" customWidth="1"/>
    <col min="21" max="21" width="13.42578125" bestFit="1" customWidth="1"/>
    <col min="22" max="22" width="10.7109375" bestFit="1" customWidth="1"/>
    <col min="23" max="23" width="10.140625" bestFit="1" customWidth="1"/>
    <col min="24" max="24" width="20.5703125" bestFit="1" customWidth="1"/>
    <col min="25" max="25" width="6.7109375" bestFit="1" customWidth="1"/>
    <col min="26" max="26" width="17.7109375" bestFit="1" customWidth="1"/>
    <col min="27" max="27" width="17" bestFit="1" customWidth="1"/>
  </cols>
  <sheetData>
    <row r="1" spans="1:24" x14ac:dyDescent="0.25">
      <c r="A1" s="22">
        <f ca="1">TODAY()</f>
        <v>46013</v>
      </c>
    </row>
    <row r="2" spans="1:24" x14ac:dyDescent="0.25">
      <c r="K2" s="18" t="s">
        <v>5</v>
      </c>
    </row>
    <row r="3" spans="1:24" x14ac:dyDescent="0.25">
      <c r="A3" s="9" t="s">
        <v>325</v>
      </c>
      <c r="B3" t="s">
        <v>321</v>
      </c>
      <c r="C3" t="s">
        <v>322</v>
      </c>
      <c r="D3" t="s">
        <v>323</v>
      </c>
      <c r="E3" t="s">
        <v>329</v>
      </c>
      <c r="G3" t="s">
        <v>353</v>
      </c>
      <c r="H3" t="s">
        <v>354</v>
      </c>
      <c r="K3" s="9" t="s">
        <v>321</v>
      </c>
      <c r="L3" s="9" t="s">
        <v>335</v>
      </c>
    </row>
    <row r="4" spans="1:24" x14ac:dyDescent="0.25">
      <c r="A4" s="10" t="s">
        <v>326</v>
      </c>
      <c r="B4" s="11">
        <v>365643.99000000028</v>
      </c>
      <c r="C4">
        <v>724</v>
      </c>
      <c r="D4" s="11">
        <v>57541.749999999985</v>
      </c>
      <c r="E4" s="11">
        <v>308102.24000000028</v>
      </c>
      <c r="G4" s="12">
        <f>GETPIVOTDATA("Sum of Profit",$A$3,"Year","2023")/GETPIVOTDATA("Sum of Sales",$A$3,"Year","2023")</f>
        <v>0.84262902830701536</v>
      </c>
      <c r="H4" s="13">
        <f>(G5-G4)/G5</f>
        <v>2.6403113382923903E-2</v>
      </c>
      <c r="I4" t="str">
        <f>IF(H4&gt;0,"▲","▼")&amp;TEXT(ABS(H4),"0.00%")&amp;" vs LY"</f>
        <v>▲2.64% vs LY</v>
      </c>
      <c r="K4" s="9" t="s">
        <v>325</v>
      </c>
      <c r="L4" t="s">
        <v>326</v>
      </c>
      <c r="M4" t="s">
        <v>327</v>
      </c>
      <c r="N4" t="s">
        <v>328</v>
      </c>
    </row>
    <row r="5" spans="1:24" x14ac:dyDescent="0.25">
      <c r="A5" s="10" t="s">
        <v>327</v>
      </c>
      <c r="B5" s="11">
        <v>475604.68999999954</v>
      </c>
      <c r="C5">
        <v>899</v>
      </c>
      <c r="D5" s="11">
        <v>63978.150000000031</v>
      </c>
      <c r="E5" s="11">
        <v>411626.53999999951</v>
      </c>
      <c r="G5" s="12">
        <f>GETPIVOTDATA("Sum of Profit",$A$3,"Year","2024")/GETPIVOTDATA("Sum of Sales",$A$3,"Year","2024")</f>
        <v>0.86548040558641237</v>
      </c>
      <c r="K5" s="10" t="s">
        <v>349</v>
      </c>
      <c r="L5" s="11">
        <v>109932.46999999999</v>
      </c>
      <c r="M5" s="11">
        <v>110028.64000000001</v>
      </c>
      <c r="N5" s="11">
        <v>219961.11</v>
      </c>
    </row>
    <row r="6" spans="1:24" x14ac:dyDescent="0.25">
      <c r="A6" s="10" t="s">
        <v>328</v>
      </c>
      <c r="B6" s="19">
        <v>841248.67999999982</v>
      </c>
      <c r="C6" s="18">
        <v>1623</v>
      </c>
      <c r="D6" s="19">
        <v>121519.90000000002</v>
      </c>
      <c r="E6" s="19">
        <v>719728.78000000084</v>
      </c>
      <c r="G6" s="12">
        <f>GETPIVOTDATA("Sum of Profit",$A$3)/GETPIVOTDATA("Sum of Sales",$A$3)</f>
        <v>0.85554818344559069</v>
      </c>
      <c r="K6" s="10" t="s">
        <v>350</v>
      </c>
      <c r="L6" s="11">
        <v>70357.790000000008</v>
      </c>
      <c r="M6" s="11">
        <v>103062.17000000001</v>
      </c>
      <c r="N6" s="11">
        <v>173419.96000000002</v>
      </c>
      <c r="Q6" s="9" t="s">
        <v>325</v>
      </c>
      <c r="R6" t="s">
        <v>356</v>
      </c>
      <c r="S6" t="s">
        <v>321</v>
      </c>
      <c r="U6" t="s">
        <v>357</v>
      </c>
      <c r="W6" t="s">
        <v>354</v>
      </c>
    </row>
    <row r="7" spans="1:24" x14ac:dyDescent="0.25">
      <c r="G7" s="12"/>
      <c r="K7" s="10" t="s">
        <v>351</v>
      </c>
      <c r="L7" s="11">
        <v>82404.929999999993</v>
      </c>
      <c r="M7" s="11">
        <v>141176.32000000001</v>
      </c>
      <c r="N7" s="11">
        <v>223581.25</v>
      </c>
      <c r="Q7" s="10" t="s">
        <v>326</v>
      </c>
      <c r="R7">
        <v>141</v>
      </c>
      <c r="S7">
        <v>365643.99000000028</v>
      </c>
      <c r="U7" s="11">
        <f>GETPIVOTDATA("Sum of Sales",$Q$6,"Year","2023")/GETPIVOTDATA("Count of OrderID",$Q$6,"Year","2023")</f>
        <v>2593.2197872340444</v>
      </c>
      <c r="W7" s="13">
        <f>(U8-U7)/U8</f>
        <v>0.13305744278885592</v>
      </c>
      <c r="X7" t="str">
        <f>IF(W7&gt;0,"▲","▼")&amp;TEXT(ABS(W7),"0.00%")&amp;" vs Last  Year"</f>
        <v>▲13.31% vs Last  Year</v>
      </c>
    </row>
    <row r="8" spans="1:24" x14ac:dyDescent="0.25">
      <c r="K8" s="10" t="s">
        <v>352</v>
      </c>
      <c r="L8" s="11">
        <v>102948.79999999997</v>
      </c>
      <c r="M8" s="11">
        <v>121337.56</v>
      </c>
      <c r="N8" s="11">
        <v>224286.36</v>
      </c>
      <c r="Q8" s="10" t="s">
        <v>327</v>
      </c>
      <c r="R8">
        <v>159</v>
      </c>
      <c r="S8">
        <v>475604.68999999954</v>
      </c>
      <c r="U8" s="11">
        <f>GETPIVOTDATA("Sum of Sales",$Q$6,"Year","2024")/GETPIVOTDATA("Count of OrderID",$Q$6,"Year","2024")</f>
        <v>2991.2244654088022</v>
      </c>
    </row>
    <row r="9" spans="1:24" x14ac:dyDescent="0.25">
      <c r="K9" s="10" t="s">
        <v>328</v>
      </c>
      <c r="L9" s="11">
        <v>365643.99</v>
      </c>
      <c r="M9" s="11">
        <v>475604.69</v>
      </c>
      <c r="N9" s="11">
        <v>841248.68</v>
      </c>
      <c r="Q9" s="10" t="s">
        <v>355</v>
      </c>
    </row>
    <row r="10" spans="1:24" x14ac:dyDescent="0.25">
      <c r="B10" t="s">
        <v>334</v>
      </c>
      <c r="Q10" s="10" t="s">
        <v>328</v>
      </c>
      <c r="R10">
        <v>300</v>
      </c>
      <c r="S10">
        <v>841248.68000000075</v>
      </c>
    </row>
    <row r="11" spans="1:24" x14ac:dyDescent="0.25">
      <c r="C11" t="s">
        <v>331</v>
      </c>
      <c r="D11" t="s">
        <v>332</v>
      </c>
      <c r="E11" t="s">
        <v>333</v>
      </c>
    </row>
    <row r="12" spans="1:24" x14ac:dyDescent="0.25">
      <c r="B12" t="s">
        <v>5</v>
      </c>
      <c r="C12" s="11">
        <f>GETPIVOTDATA("Sum of Sales",$A$3,"Year","2024")</f>
        <v>475604.68999999954</v>
      </c>
      <c r="D12" s="11">
        <f>GETPIVOTDATA("Sum of Sales",$A$3,"Year","2023")</f>
        <v>365643.99000000028</v>
      </c>
      <c r="E12" s="12">
        <f>(C12-D12)/D12</f>
        <v>0.30073159413887585</v>
      </c>
      <c r="F12" s="18" t="str">
        <f>IF(E12&gt;0,"▲","▼")&amp;TEXT(ABS(E12),"0.00%")&amp;" vs LY"</f>
        <v>▲30.07% vs LY</v>
      </c>
    </row>
    <row r="13" spans="1:24" x14ac:dyDescent="0.25">
      <c r="B13" t="s">
        <v>6</v>
      </c>
      <c r="C13" s="11">
        <f>GETPIVOTDATA("Sum of Quantity",$A$3,"Year","2024")</f>
        <v>899</v>
      </c>
      <c r="D13" s="11">
        <f>GETPIVOTDATA("Sum of Quantity",$A$3,"Year","2023")</f>
        <v>724</v>
      </c>
      <c r="E13" s="12">
        <f>(C13-D13)/D13</f>
        <v>0.24171270718232044</v>
      </c>
      <c r="F13" s="18" t="str">
        <f>IF(E13&gt;0,"▲","▼")&amp;TEXT(ABS(E13),"0.00%")&amp;" vs LY"</f>
        <v>▲24.17% vs LY</v>
      </c>
      <c r="K13" s="18" t="s">
        <v>6</v>
      </c>
    </row>
    <row r="14" spans="1:24" x14ac:dyDescent="0.25">
      <c r="B14" t="s">
        <v>7</v>
      </c>
      <c r="C14" s="11">
        <f>GETPIVOTDATA("Sum of Cost",$A$3,"Year","2024")</f>
        <v>63978.150000000031</v>
      </c>
      <c r="D14" s="11">
        <f>GETPIVOTDATA("Sum of Cost",$A$3,"Year","2023")</f>
        <v>57541.749999999985</v>
      </c>
      <c r="E14" s="12">
        <f>(C14-D14)/D14</f>
        <v>0.11185617399540415</v>
      </c>
      <c r="F14" s="18" t="str">
        <f>IF(E14&gt;0,"▲","▼")&amp;TEXT(ABS(E14),"0.00%")&amp;" vs LY"</f>
        <v>▲11.19% vs LY</v>
      </c>
      <c r="K14" s="9" t="s">
        <v>322</v>
      </c>
      <c r="L14" s="9" t="s">
        <v>335</v>
      </c>
    </row>
    <row r="15" spans="1:24" x14ac:dyDescent="0.25">
      <c r="B15" t="s">
        <v>330</v>
      </c>
      <c r="C15" s="11">
        <f>GETPIVOTDATA("Sum of Profit",$A$3,"Year","2024")</f>
        <v>411626.53999999951</v>
      </c>
      <c r="D15" s="11">
        <f>GETPIVOTDATA("Sum of Profit",$A$3,"Year","2023")</f>
        <v>308102.24000000028</v>
      </c>
      <c r="E15" s="12">
        <f>(C15-D15)/D15</f>
        <v>0.33600632049932233</v>
      </c>
      <c r="F15" s="18" t="str">
        <f>IF(E15&gt;0,"▲","▼")&amp;TEXT(ABS(E15),"0.00%")&amp;" vs LY"</f>
        <v>▲33.60% vs LY</v>
      </c>
      <c r="K15" s="9" t="s">
        <v>325</v>
      </c>
      <c r="L15" t="s">
        <v>326</v>
      </c>
      <c r="M15" t="s">
        <v>327</v>
      </c>
      <c r="N15" t="s">
        <v>328</v>
      </c>
    </row>
    <row r="16" spans="1:24" x14ac:dyDescent="0.25">
      <c r="K16" s="10" t="s">
        <v>349</v>
      </c>
      <c r="L16" s="11">
        <v>202</v>
      </c>
      <c r="M16" s="11">
        <v>216</v>
      </c>
      <c r="N16" s="11">
        <v>418</v>
      </c>
    </row>
    <row r="17" spans="6:24" x14ac:dyDescent="0.25">
      <c r="K17" s="10" t="s">
        <v>350</v>
      </c>
      <c r="L17" s="11">
        <v>174</v>
      </c>
      <c r="M17" s="11">
        <v>189</v>
      </c>
      <c r="N17" s="11">
        <v>363</v>
      </c>
      <c r="Q17" t="s">
        <v>358</v>
      </c>
      <c r="U17">
        <v>2023</v>
      </c>
      <c r="W17">
        <v>2024</v>
      </c>
    </row>
    <row r="18" spans="6:24" x14ac:dyDescent="0.25">
      <c r="K18" s="10" t="s">
        <v>351</v>
      </c>
      <c r="L18" s="11">
        <v>146</v>
      </c>
      <c r="M18" s="11">
        <v>252</v>
      </c>
      <c r="N18" s="11">
        <v>398</v>
      </c>
      <c r="R18" t="s">
        <v>359</v>
      </c>
      <c r="S18" t="s">
        <v>360</v>
      </c>
    </row>
    <row r="19" spans="6:24" x14ac:dyDescent="0.25">
      <c r="K19" s="10" t="s">
        <v>352</v>
      </c>
      <c r="L19" s="11">
        <v>202</v>
      </c>
      <c r="M19" s="11">
        <v>242</v>
      </c>
      <c r="N19" s="11">
        <v>444</v>
      </c>
      <c r="Q19" t="s">
        <v>361</v>
      </c>
      <c r="R19" s="11">
        <f>C15</f>
        <v>411626.53999999951</v>
      </c>
      <c r="S19" s="11">
        <f>D15</f>
        <v>308102.24000000028</v>
      </c>
      <c r="U19" s="12">
        <f>(GETPIVOTDATA("Sum of Profit",$A$3,"Year","2023")/GETPIVOTDATA("Sum of Sales",$A$3,"Year","2023"))</f>
        <v>0.84262902830701536</v>
      </c>
    </row>
    <row r="20" spans="6:24" x14ac:dyDescent="0.25">
      <c r="K20" s="10" t="s">
        <v>328</v>
      </c>
      <c r="L20" s="11">
        <v>724</v>
      </c>
      <c r="M20" s="11">
        <v>899</v>
      </c>
      <c r="N20" s="11">
        <v>1623</v>
      </c>
      <c r="Q20" t="s">
        <v>362</v>
      </c>
      <c r="R20" s="11">
        <f>C12</f>
        <v>475604.68999999954</v>
      </c>
      <c r="S20" s="11">
        <f>D12</f>
        <v>365643.99000000028</v>
      </c>
      <c r="U20" s="15">
        <f>G5</f>
        <v>0.86548040558641237</v>
      </c>
    </row>
    <row r="21" spans="6:24" x14ac:dyDescent="0.25">
      <c r="F21" s="18" t="s">
        <v>348</v>
      </c>
    </row>
    <row r="22" spans="6:24" x14ac:dyDescent="0.25">
      <c r="F22" s="9" t="s">
        <v>329</v>
      </c>
      <c r="G22" s="9" t="s">
        <v>335</v>
      </c>
    </row>
    <row r="23" spans="6:24" x14ac:dyDescent="0.25">
      <c r="F23" s="9" t="s">
        <v>325</v>
      </c>
      <c r="G23" t="s">
        <v>326</v>
      </c>
      <c r="H23" t="s">
        <v>327</v>
      </c>
      <c r="I23" t="s">
        <v>328</v>
      </c>
      <c r="X23" t="s">
        <v>375</v>
      </c>
    </row>
    <row r="24" spans="6:24" x14ac:dyDescent="0.25">
      <c r="F24" s="10" t="s">
        <v>336</v>
      </c>
      <c r="G24" s="17">
        <v>25094.430000000004</v>
      </c>
      <c r="H24" s="17">
        <v>30659.11</v>
      </c>
      <c r="I24" s="17">
        <v>55753.539999999994</v>
      </c>
      <c r="K24" s="18" t="s">
        <v>7</v>
      </c>
      <c r="Q24" s="18" t="s">
        <v>370</v>
      </c>
    </row>
    <row r="25" spans="6:24" x14ac:dyDescent="0.25">
      <c r="F25" s="10" t="s">
        <v>337</v>
      </c>
      <c r="G25" s="17">
        <v>23634.37</v>
      </c>
      <c r="H25" s="17">
        <v>34198.97</v>
      </c>
      <c r="I25" s="17">
        <v>57833.339999999982</v>
      </c>
      <c r="K25" s="9" t="s">
        <v>323</v>
      </c>
      <c r="L25" s="9" t="s">
        <v>335</v>
      </c>
      <c r="Q25" s="9" t="s">
        <v>325</v>
      </c>
      <c r="R25" t="s">
        <v>321</v>
      </c>
    </row>
    <row r="26" spans="6:24" x14ac:dyDescent="0.25">
      <c r="F26" s="10" t="s">
        <v>338</v>
      </c>
      <c r="G26" s="17">
        <v>46345.32</v>
      </c>
      <c r="H26" s="17">
        <v>30190.150000000005</v>
      </c>
      <c r="I26" s="17">
        <v>76535.47</v>
      </c>
      <c r="K26" s="9" t="s">
        <v>325</v>
      </c>
      <c r="L26" t="s">
        <v>326</v>
      </c>
      <c r="M26" t="s">
        <v>327</v>
      </c>
      <c r="N26" t="s">
        <v>328</v>
      </c>
      <c r="Q26" s="10" t="s">
        <v>25</v>
      </c>
      <c r="R26">
        <v>165353.57</v>
      </c>
    </row>
    <row r="27" spans="6:24" x14ac:dyDescent="0.25">
      <c r="F27" s="10" t="s">
        <v>339</v>
      </c>
      <c r="G27" s="17">
        <v>30377.570000000003</v>
      </c>
      <c r="H27" s="17">
        <v>51800.82</v>
      </c>
      <c r="I27" s="17">
        <v>82178.39</v>
      </c>
      <c r="K27" s="10" t="s">
        <v>349</v>
      </c>
      <c r="L27" s="11">
        <v>14858.35</v>
      </c>
      <c r="M27" s="11">
        <v>14980.41</v>
      </c>
      <c r="N27" s="11">
        <v>29838.760000000002</v>
      </c>
      <c r="Q27" s="10" t="s">
        <v>23</v>
      </c>
      <c r="R27">
        <v>142957.66999999998</v>
      </c>
    </row>
    <row r="28" spans="6:24" x14ac:dyDescent="0.25">
      <c r="F28" s="10" t="s">
        <v>340</v>
      </c>
      <c r="G28" s="17">
        <v>5327.9700000000012</v>
      </c>
      <c r="H28" s="17">
        <v>9118.5499999999993</v>
      </c>
      <c r="I28" s="17">
        <v>14446.519999999999</v>
      </c>
      <c r="K28" s="10" t="s">
        <v>350</v>
      </c>
      <c r="L28" s="11">
        <v>11681.549999999996</v>
      </c>
      <c r="M28" s="11">
        <v>12698.280000000002</v>
      </c>
      <c r="N28" s="11">
        <v>24379.829999999998</v>
      </c>
      <c r="Q28" s="10" t="s">
        <v>13</v>
      </c>
      <c r="R28">
        <v>127880.03999999998</v>
      </c>
    </row>
    <row r="29" spans="6:24" x14ac:dyDescent="0.25">
      <c r="F29" s="10" t="s">
        <v>341</v>
      </c>
      <c r="G29" s="17">
        <v>22970.7</v>
      </c>
      <c r="H29" s="17">
        <v>29444.519999999997</v>
      </c>
      <c r="I29" s="17">
        <v>52415.220000000008</v>
      </c>
      <c r="K29" s="10" t="s">
        <v>351</v>
      </c>
      <c r="L29" s="11">
        <v>15455.970000000003</v>
      </c>
      <c r="M29" s="11">
        <v>19318.900000000001</v>
      </c>
      <c r="N29" s="11">
        <v>34774.870000000003</v>
      </c>
      <c r="Q29" s="10" t="s">
        <v>18</v>
      </c>
      <c r="R29">
        <v>146941.59999999998</v>
      </c>
    </row>
    <row r="30" spans="6:24" x14ac:dyDescent="0.25">
      <c r="F30" s="10" t="s">
        <v>342</v>
      </c>
      <c r="G30" s="17">
        <v>5543.59</v>
      </c>
      <c r="H30" s="17">
        <v>45236.359999999986</v>
      </c>
      <c r="I30" s="17">
        <v>50779.949999999983</v>
      </c>
      <c r="K30" s="10" t="s">
        <v>352</v>
      </c>
      <c r="L30" s="11">
        <v>15545.880000000001</v>
      </c>
      <c r="M30" s="11">
        <v>16980.560000000001</v>
      </c>
      <c r="N30" s="11">
        <v>32526.440000000002</v>
      </c>
      <c r="Q30" s="10" t="s">
        <v>15</v>
      </c>
      <c r="R30">
        <v>147928.08000000005</v>
      </c>
    </row>
    <row r="31" spans="6:24" x14ac:dyDescent="0.25">
      <c r="F31" s="10" t="s">
        <v>343</v>
      </c>
      <c r="G31" s="17">
        <v>37043.689999999995</v>
      </c>
      <c r="H31" s="17">
        <v>24217.699999999997</v>
      </c>
      <c r="I31" s="17">
        <v>61261.390000000007</v>
      </c>
      <c r="K31" s="10" t="s">
        <v>328</v>
      </c>
      <c r="L31" s="11">
        <v>57541.75</v>
      </c>
      <c r="M31" s="11">
        <v>63978.150000000009</v>
      </c>
      <c r="N31" s="11">
        <v>121519.9</v>
      </c>
      <c r="Q31" s="10" t="s">
        <v>9</v>
      </c>
      <c r="R31">
        <v>110187.71999999999</v>
      </c>
    </row>
    <row r="32" spans="6:24" x14ac:dyDescent="0.25">
      <c r="F32" s="10" t="s">
        <v>344</v>
      </c>
      <c r="G32" s="17">
        <v>24361.68</v>
      </c>
      <c r="H32" s="17">
        <v>52403.359999999993</v>
      </c>
      <c r="I32" s="17">
        <v>76765.040000000023</v>
      </c>
      <c r="Q32" s="10" t="s">
        <v>328</v>
      </c>
      <c r="R32">
        <v>841248.67999999993</v>
      </c>
      <c r="U32" s="18" t="s">
        <v>368</v>
      </c>
    </row>
    <row r="33" spans="1:23" x14ac:dyDescent="0.25">
      <c r="F33" s="10" t="s">
        <v>345</v>
      </c>
      <c r="G33" s="17">
        <v>34445.440000000002</v>
      </c>
      <c r="H33" s="17">
        <v>44095.850000000006</v>
      </c>
      <c r="I33" s="17">
        <v>78541.290000000008</v>
      </c>
      <c r="U33" s="9" t="s">
        <v>325</v>
      </c>
      <c r="V33" t="s">
        <v>371</v>
      </c>
      <c r="W33" t="s">
        <v>372</v>
      </c>
    </row>
    <row r="34" spans="1:23" x14ac:dyDescent="0.25">
      <c r="F34" s="10" t="s">
        <v>346</v>
      </c>
      <c r="G34" s="17">
        <v>35733.599999999999</v>
      </c>
      <c r="H34" s="17">
        <v>40887.47</v>
      </c>
      <c r="I34" s="17">
        <v>76621.069999999992</v>
      </c>
      <c r="Q34" s="20" t="s">
        <v>369</v>
      </c>
      <c r="U34" s="10" t="s">
        <v>336</v>
      </c>
      <c r="V34" s="17">
        <v>65657.98</v>
      </c>
      <c r="W34" s="17">
        <v>9904.44</v>
      </c>
    </row>
    <row r="35" spans="1:23" x14ac:dyDescent="0.25">
      <c r="F35" s="10" t="s">
        <v>347</v>
      </c>
      <c r="G35" s="17">
        <v>17223.880000000005</v>
      </c>
      <c r="H35" s="17">
        <v>19373.68</v>
      </c>
      <c r="I35" s="17">
        <v>36597.560000000005</v>
      </c>
      <c r="K35" s="18" t="s">
        <v>330</v>
      </c>
      <c r="Q35" s="9" t="s">
        <v>325</v>
      </c>
      <c r="R35" t="s">
        <v>329</v>
      </c>
      <c r="U35" s="10" t="s">
        <v>337</v>
      </c>
      <c r="V35" s="17">
        <v>66095.56</v>
      </c>
      <c r="W35" s="17">
        <v>8262.2200000000012</v>
      </c>
    </row>
    <row r="36" spans="1:23" x14ac:dyDescent="0.25">
      <c r="F36" s="10" t="s">
        <v>328</v>
      </c>
      <c r="G36" s="17">
        <v>308102.24000000011</v>
      </c>
      <c r="H36" s="17">
        <v>411626.53999999969</v>
      </c>
      <c r="I36" s="17">
        <v>719728.78</v>
      </c>
      <c r="K36" s="9" t="s">
        <v>329</v>
      </c>
      <c r="L36" s="9" t="s">
        <v>335</v>
      </c>
      <c r="Q36" s="10" t="s">
        <v>25</v>
      </c>
      <c r="R36">
        <v>142200.42000000001</v>
      </c>
      <c r="U36" s="10" t="s">
        <v>338</v>
      </c>
      <c r="V36" s="17">
        <v>88207.569999999992</v>
      </c>
      <c r="W36" s="17">
        <v>11672.099999999999</v>
      </c>
    </row>
    <row r="37" spans="1:23" x14ac:dyDescent="0.25">
      <c r="K37" s="9" t="s">
        <v>325</v>
      </c>
      <c r="L37" t="s">
        <v>326</v>
      </c>
      <c r="M37" t="s">
        <v>327</v>
      </c>
      <c r="N37" t="s">
        <v>328</v>
      </c>
      <c r="Q37" s="10" t="s">
        <v>23</v>
      </c>
      <c r="R37">
        <v>122450.01999999999</v>
      </c>
      <c r="U37" s="10" t="s">
        <v>339</v>
      </c>
      <c r="V37" s="17">
        <v>94984.77</v>
      </c>
      <c r="W37" s="17">
        <v>12806.380000000003</v>
      </c>
    </row>
    <row r="38" spans="1:23" x14ac:dyDescent="0.25">
      <c r="K38" s="10" t="s">
        <v>349</v>
      </c>
      <c r="L38" s="11">
        <v>95074.119999999981</v>
      </c>
      <c r="M38" s="11">
        <v>95048.23000000001</v>
      </c>
      <c r="N38" s="11">
        <v>190122.34999999998</v>
      </c>
      <c r="Q38" s="10" t="s">
        <v>13</v>
      </c>
      <c r="R38">
        <v>107907.07999999999</v>
      </c>
      <c r="U38" s="10" t="s">
        <v>340</v>
      </c>
      <c r="V38" s="17">
        <v>19509.37</v>
      </c>
      <c r="W38" s="17">
        <v>5062.8499999999995</v>
      </c>
    </row>
    <row r="39" spans="1:23" x14ac:dyDescent="0.25">
      <c r="K39" s="10" t="s">
        <v>350</v>
      </c>
      <c r="L39" s="11">
        <v>58676.240000000013</v>
      </c>
      <c r="M39" s="11">
        <v>90363.890000000014</v>
      </c>
      <c r="N39" s="11">
        <v>149040.13</v>
      </c>
      <c r="Q39" s="10" t="s">
        <v>18</v>
      </c>
      <c r="R39">
        <v>126569.35999999997</v>
      </c>
      <c r="U39" s="10" t="s">
        <v>341</v>
      </c>
      <c r="V39" s="17">
        <v>58925.820000000007</v>
      </c>
      <c r="W39" s="17">
        <v>6510.6</v>
      </c>
    </row>
    <row r="40" spans="1:23" x14ac:dyDescent="0.25">
      <c r="K40" s="10" t="s">
        <v>351</v>
      </c>
      <c r="L40" s="11">
        <v>66948.959999999992</v>
      </c>
      <c r="M40" s="11">
        <v>121857.42000000001</v>
      </c>
      <c r="N40" s="11">
        <v>188806.37999999995</v>
      </c>
      <c r="Q40" s="10" t="s">
        <v>15</v>
      </c>
      <c r="R40">
        <v>127419.32000000005</v>
      </c>
      <c r="U40" s="10" t="s">
        <v>342</v>
      </c>
      <c r="V40" s="17">
        <v>61201.829999999994</v>
      </c>
      <c r="W40" s="17">
        <v>10421.879999999999</v>
      </c>
    </row>
    <row r="41" spans="1:23" x14ac:dyDescent="0.25">
      <c r="K41" s="10" t="s">
        <v>352</v>
      </c>
      <c r="L41" s="11">
        <v>87402.919999999969</v>
      </c>
      <c r="M41" s="11">
        <v>104357</v>
      </c>
      <c r="N41" s="11">
        <v>191759.91999999995</v>
      </c>
      <c r="Q41" s="10" t="s">
        <v>9</v>
      </c>
      <c r="R41">
        <v>93182.579999999987</v>
      </c>
      <c r="U41" s="10" t="s">
        <v>343</v>
      </c>
      <c r="V41" s="17">
        <v>73110.040000000008</v>
      </c>
      <c r="W41" s="17">
        <v>11848.650000000001</v>
      </c>
    </row>
    <row r="42" spans="1:23" x14ac:dyDescent="0.25">
      <c r="K42" s="10" t="s">
        <v>328</v>
      </c>
      <c r="L42" s="11">
        <v>308102.24000000011</v>
      </c>
      <c r="M42" s="11">
        <v>411626.53999999975</v>
      </c>
      <c r="N42" s="11">
        <v>719728.7799999998</v>
      </c>
      <c r="Q42" s="10" t="s">
        <v>328</v>
      </c>
      <c r="R42">
        <v>719728.78000000084</v>
      </c>
      <c r="U42" s="10" t="s">
        <v>344</v>
      </c>
      <c r="V42" s="17">
        <v>89269.380000000019</v>
      </c>
      <c r="W42" s="17">
        <v>12504.340000000002</v>
      </c>
    </row>
    <row r="43" spans="1:23" x14ac:dyDescent="0.25">
      <c r="A43" s="18" t="s">
        <v>365</v>
      </c>
      <c r="F43" s="18" t="s">
        <v>364</v>
      </c>
      <c r="U43" s="10" t="s">
        <v>345</v>
      </c>
      <c r="V43" s="17">
        <v>91217.66</v>
      </c>
      <c r="W43" s="17">
        <v>12676.37</v>
      </c>
    </row>
    <row r="44" spans="1:23" x14ac:dyDescent="0.25">
      <c r="A44" s="9" t="s">
        <v>321</v>
      </c>
      <c r="B44" s="9" t="s">
        <v>335</v>
      </c>
      <c r="F44" s="9" t="s">
        <v>329</v>
      </c>
      <c r="G44" s="9" t="s">
        <v>335</v>
      </c>
      <c r="U44" s="10" t="s">
        <v>346</v>
      </c>
      <c r="V44" s="17">
        <v>89961.420000000013</v>
      </c>
      <c r="W44" s="17">
        <v>13340.350000000002</v>
      </c>
    </row>
    <row r="45" spans="1:23" x14ac:dyDescent="0.25">
      <c r="A45" s="9" t="s">
        <v>325</v>
      </c>
      <c r="B45" t="s">
        <v>326</v>
      </c>
      <c r="C45" t="s">
        <v>327</v>
      </c>
      <c r="D45" t="s">
        <v>328</v>
      </c>
      <c r="F45" s="9" t="s">
        <v>325</v>
      </c>
      <c r="G45" t="s">
        <v>326</v>
      </c>
      <c r="H45" t="s">
        <v>327</v>
      </c>
      <c r="I45" t="s">
        <v>328</v>
      </c>
      <c r="U45" s="10" t="s">
        <v>347</v>
      </c>
      <c r="V45" s="17">
        <v>43107.280000000006</v>
      </c>
      <c r="W45" s="17">
        <v>6509.7199999999993</v>
      </c>
    </row>
    <row r="46" spans="1:23" x14ac:dyDescent="0.25">
      <c r="A46" s="10" t="s">
        <v>25</v>
      </c>
      <c r="B46" s="11">
        <v>83732.830000000016</v>
      </c>
      <c r="C46" s="11">
        <v>81620.740000000005</v>
      </c>
      <c r="D46" s="11">
        <v>165353.57</v>
      </c>
      <c r="F46" s="10" t="s">
        <v>25</v>
      </c>
      <c r="G46" s="17">
        <v>71669.550000000017</v>
      </c>
      <c r="H46" s="17">
        <v>70530.87000000001</v>
      </c>
      <c r="I46" s="17">
        <v>142200.42000000004</v>
      </c>
      <c r="U46" s="10" t="s">
        <v>328</v>
      </c>
      <c r="V46" s="17">
        <v>841248.68000000017</v>
      </c>
      <c r="W46" s="17">
        <v>121519.9</v>
      </c>
    </row>
    <row r="47" spans="1:23" x14ac:dyDescent="0.25">
      <c r="A47" s="10" t="s">
        <v>23</v>
      </c>
      <c r="B47" s="11">
        <v>87038.010000000009</v>
      </c>
      <c r="C47" s="11">
        <v>55919.660000000018</v>
      </c>
      <c r="D47" s="11">
        <v>142957.67000000004</v>
      </c>
      <c r="F47" s="10" t="s">
        <v>23</v>
      </c>
      <c r="G47" s="17">
        <v>74244.91</v>
      </c>
      <c r="H47" s="17">
        <v>48205.110000000015</v>
      </c>
      <c r="I47" s="17">
        <v>122450.02</v>
      </c>
    </row>
    <row r="48" spans="1:23" x14ac:dyDescent="0.25">
      <c r="A48" s="10" t="s">
        <v>13</v>
      </c>
      <c r="B48" s="11">
        <v>63549.779999999984</v>
      </c>
      <c r="C48" s="11">
        <v>64330.260000000024</v>
      </c>
      <c r="D48" s="11">
        <v>127880.04000000001</v>
      </c>
      <c r="F48" s="10" t="s">
        <v>13</v>
      </c>
      <c r="G48" s="17">
        <v>52214.449999999983</v>
      </c>
      <c r="H48" s="17">
        <v>55692.630000000026</v>
      </c>
      <c r="I48" s="17">
        <v>107907.07999999996</v>
      </c>
    </row>
    <row r="49" spans="1:18" x14ac:dyDescent="0.25">
      <c r="A49" s="10" t="s">
        <v>18</v>
      </c>
      <c r="B49" s="11">
        <v>37447.310000000005</v>
      </c>
      <c r="C49" s="11">
        <v>109494.29000000001</v>
      </c>
      <c r="D49" s="11">
        <v>146941.6</v>
      </c>
      <c r="F49" s="10" t="s">
        <v>18</v>
      </c>
      <c r="G49" s="17">
        <v>31200.180000000004</v>
      </c>
      <c r="H49" s="17">
        <v>95369.180000000008</v>
      </c>
      <c r="I49" s="17">
        <v>126569.35999999997</v>
      </c>
    </row>
    <row r="50" spans="1:18" x14ac:dyDescent="0.25">
      <c r="A50" s="10" t="s">
        <v>15</v>
      </c>
      <c r="B50" s="11">
        <v>42008.6</v>
      </c>
      <c r="C50" s="11">
        <v>105919.48000000004</v>
      </c>
      <c r="D50" s="11">
        <v>147928.08000000005</v>
      </c>
      <c r="F50" s="10" t="s">
        <v>15</v>
      </c>
      <c r="G50" s="17">
        <v>35435.549999999996</v>
      </c>
      <c r="H50" s="17">
        <v>91983.770000000033</v>
      </c>
      <c r="I50" s="17">
        <v>127419.31999999995</v>
      </c>
    </row>
    <row r="51" spans="1:18" x14ac:dyDescent="0.25">
      <c r="A51" s="10" t="s">
        <v>9</v>
      </c>
      <c r="B51" s="11">
        <v>51867.46</v>
      </c>
      <c r="C51" s="11">
        <v>58320.259999999995</v>
      </c>
      <c r="D51" s="11">
        <v>110187.72</v>
      </c>
      <c r="F51" s="10" t="s">
        <v>9</v>
      </c>
      <c r="G51" s="17">
        <v>43337.599999999999</v>
      </c>
      <c r="H51" s="17">
        <v>49844.979999999996</v>
      </c>
      <c r="I51" s="17">
        <v>93182.579999999987</v>
      </c>
    </row>
    <row r="52" spans="1:18" x14ac:dyDescent="0.25">
      <c r="A52" s="10" t="s">
        <v>328</v>
      </c>
      <c r="B52" s="11">
        <v>365643.99</v>
      </c>
      <c r="C52" s="11">
        <v>475604.69000000012</v>
      </c>
      <c r="D52" s="11">
        <v>841248.68</v>
      </c>
      <c r="F52" s="10" t="s">
        <v>328</v>
      </c>
      <c r="G52" s="17">
        <v>308102.24000000011</v>
      </c>
      <c r="H52" s="17">
        <v>411626.53999999963</v>
      </c>
      <c r="I52" s="17">
        <v>719728.77999999991</v>
      </c>
    </row>
    <row r="55" spans="1:18" x14ac:dyDescent="0.25">
      <c r="O55" s="9" t="s">
        <v>4</v>
      </c>
      <c r="P55" t="s">
        <v>367</v>
      </c>
    </row>
    <row r="56" spans="1:18" x14ac:dyDescent="0.25">
      <c r="A56" s="18" t="s">
        <v>374</v>
      </c>
      <c r="F56" s="18" t="s">
        <v>373</v>
      </c>
      <c r="K56" s="21" t="s">
        <v>363</v>
      </c>
      <c r="O56" s="18" t="s">
        <v>366</v>
      </c>
    </row>
    <row r="57" spans="1:18" x14ac:dyDescent="0.25">
      <c r="A57" s="9" t="s">
        <v>321</v>
      </c>
      <c r="B57" s="9" t="s">
        <v>335</v>
      </c>
      <c r="F57" s="9" t="s">
        <v>329</v>
      </c>
      <c r="G57" s="9" t="s">
        <v>335</v>
      </c>
      <c r="K57" s="9" t="s">
        <v>325</v>
      </c>
      <c r="L57" t="s">
        <v>323</v>
      </c>
      <c r="M57" t="s">
        <v>321</v>
      </c>
      <c r="O57" s="9" t="s">
        <v>321</v>
      </c>
      <c r="P57" s="9" t="s">
        <v>335</v>
      </c>
    </row>
    <row r="58" spans="1:18" x14ac:dyDescent="0.25">
      <c r="A58" s="9" t="s">
        <v>325</v>
      </c>
      <c r="B58" t="s">
        <v>326</v>
      </c>
      <c r="C58" t="s">
        <v>327</v>
      </c>
      <c r="D58" t="s">
        <v>328</v>
      </c>
      <c r="F58" s="9" t="s">
        <v>325</v>
      </c>
      <c r="G58" t="s">
        <v>326</v>
      </c>
      <c r="H58" t="s">
        <v>328</v>
      </c>
      <c r="K58" s="10" t="s">
        <v>11</v>
      </c>
      <c r="L58">
        <v>24568.930000000004</v>
      </c>
      <c r="M58">
        <v>183466.9</v>
      </c>
      <c r="O58" s="9" t="s">
        <v>325</v>
      </c>
      <c r="P58" t="s">
        <v>326</v>
      </c>
      <c r="Q58" t="s">
        <v>327</v>
      </c>
      <c r="R58" t="s">
        <v>328</v>
      </c>
    </row>
    <row r="59" spans="1:18" x14ac:dyDescent="0.25">
      <c r="A59" s="10" t="s">
        <v>11</v>
      </c>
      <c r="B59" s="11">
        <v>61994.55999999999</v>
      </c>
      <c r="C59" s="11">
        <v>121472.34000000003</v>
      </c>
      <c r="D59" s="11">
        <v>183466.90000000002</v>
      </c>
      <c r="F59" s="10" t="s">
        <v>11</v>
      </c>
      <c r="G59" s="11">
        <v>53246.119999999995</v>
      </c>
      <c r="H59" s="11">
        <v>53246.119999999995</v>
      </c>
      <c r="K59" s="10" t="s">
        <v>26</v>
      </c>
      <c r="L59">
        <v>28581.489999999998</v>
      </c>
      <c r="M59">
        <v>182263.16999999998</v>
      </c>
      <c r="O59" s="10" t="s">
        <v>25</v>
      </c>
      <c r="P59">
        <v>83732.830000000016</v>
      </c>
      <c r="Q59">
        <v>81620.740000000005</v>
      </c>
      <c r="R59">
        <v>165353.57</v>
      </c>
    </row>
    <row r="60" spans="1:18" x14ac:dyDescent="0.25">
      <c r="A60" s="10" t="s">
        <v>26</v>
      </c>
      <c r="B60" s="11">
        <v>88852.969999999987</v>
      </c>
      <c r="C60" s="11">
        <v>93410.199999999968</v>
      </c>
      <c r="D60" s="11">
        <v>182263.16999999995</v>
      </c>
      <c r="F60" s="10" t="s">
        <v>26</v>
      </c>
      <c r="G60" s="11">
        <v>73525.7</v>
      </c>
      <c r="H60" s="11">
        <v>73525.7</v>
      </c>
      <c r="K60" s="10" t="s">
        <v>21</v>
      </c>
      <c r="L60">
        <v>37272.42</v>
      </c>
      <c r="M60">
        <v>269325.7699999999</v>
      </c>
      <c r="O60" s="10" t="s">
        <v>23</v>
      </c>
      <c r="P60">
        <v>87038.010000000009</v>
      </c>
      <c r="Q60">
        <v>55919.660000000018</v>
      </c>
      <c r="R60">
        <v>142957.67000000004</v>
      </c>
    </row>
    <row r="61" spans="1:18" x14ac:dyDescent="0.25">
      <c r="A61" s="10" t="s">
        <v>21</v>
      </c>
      <c r="B61" s="11">
        <v>123927.84999999996</v>
      </c>
      <c r="C61" s="11">
        <v>145397.91999999998</v>
      </c>
      <c r="D61" s="11">
        <v>269325.76999999996</v>
      </c>
      <c r="F61" s="10" t="s">
        <v>21</v>
      </c>
      <c r="G61" s="11">
        <v>104862.72999999998</v>
      </c>
      <c r="H61" s="11">
        <v>104862.72999999998</v>
      </c>
      <c r="K61" s="10" t="s">
        <v>19</v>
      </c>
      <c r="L61">
        <v>31097.059999999994</v>
      </c>
      <c r="M61">
        <v>206192.84</v>
      </c>
      <c r="O61" s="10" t="s">
        <v>13</v>
      </c>
      <c r="P61">
        <v>63549.779999999984</v>
      </c>
      <c r="Q61">
        <v>64330.260000000024</v>
      </c>
      <c r="R61">
        <v>127880.04000000001</v>
      </c>
    </row>
    <row r="62" spans="1:18" x14ac:dyDescent="0.25">
      <c r="A62" s="10" t="s">
        <v>19</v>
      </c>
      <c r="B62" s="11">
        <v>90868.61</v>
      </c>
      <c r="C62" s="11">
        <v>115324.23000000001</v>
      </c>
      <c r="D62" s="11">
        <v>206192.84000000003</v>
      </c>
      <c r="F62" s="10" t="s">
        <v>19</v>
      </c>
      <c r="G62" s="11">
        <v>76467.69</v>
      </c>
      <c r="H62" s="11">
        <v>76467.69</v>
      </c>
      <c r="K62" s="10" t="s">
        <v>328</v>
      </c>
      <c r="L62">
        <v>121519.9</v>
      </c>
      <c r="M62">
        <v>841248.67999999982</v>
      </c>
      <c r="O62" s="10" t="s">
        <v>18</v>
      </c>
      <c r="P62">
        <v>37447.310000000005</v>
      </c>
      <c r="Q62">
        <v>109494.29000000001</v>
      </c>
      <c r="R62">
        <v>146941.6</v>
      </c>
    </row>
    <row r="63" spans="1:18" x14ac:dyDescent="0.25">
      <c r="A63" s="10" t="s">
        <v>328</v>
      </c>
      <c r="B63" s="11">
        <v>365643.98999999993</v>
      </c>
      <c r="C63" s="11">
        <v>475604.68999999994</v>
      </c>
      <c r="D63" s="11">
        <v>841248.67999999993</v>
      </c>
      <c r="F63" s="10" t="s">
        <v>328</v>
      </c>
      <c r="G63" s="11">
        <v>308102.24000000005</v>
      </c>
      <c r="H63" s="11">
        <v>308102.24</v>
      </c>
      <c r="O63" s="10" t="s">
        <v>15</v>
      </c>
      <c r="P63">
        <v>42008.6</v>
      </c>
      <c r="Q63">
        <v>105919.48000000004</v>
      </c>
      <c r="R63">
        <v>147928.08000000005</v>
      </c>
    </row>
    <row r="64" spans="1:18" x14ac:dyDescent="0.25">
      <c r="O64" s="10" t="s">
        <v>9</v>
      </c>
      <c r="P64">
        <v>51867.46</v>
      </c>
      <c r="Q64">
        <v>58320.259999999995</v>
      </c>
      <c r="R64">
        <v>110187.72</v>
      </c>
    </row>
    <row r="65" spans="6:18" x14ac:dyDescent="0.25">
      <c r="O65" s="10" t="s">
        <v>328</v>
      </c>
      <c r="P65">
        <v>365643.99</v>
      </c>
      <c r="Q65">
        <v>475604.69000000012</v>
      </c>
      <c r="R65">
        <v>841248.68</v>
      </c>
    </row>
    <row r="68" spans="6:18" x14ac:dyDescent="0.25">
      <c r="F68" s="18"/>
    </row>
    <row r="69" spans="6:18" x14ac:dyDescent="0.25">
      <c r="F69" s="9" t="s">
        <v>329</v>
      </c>
      <c r="G69" s="9" t="s">
        <v>335</v>
      </c>
    </row>
    <row r="70" spans="6:18" x14ac:dyDescent="0.25">
      <c r="F70" s="9" t="s">
        <v>325</v>
      </c>
      <c r="G70" t="s">
        <v>327</v>
      </c>
      <c r="H70" t="s">
        <v>328</v>
      </c>
    </row>
    <row r="71" spans="6:18" x14ac:dyDescent="0.25">
      <c r="F71" s="10" t="s">
        <v>11</v>
      </c>
      <c r="G71" s="11">
        <v>105651.85000000003</v>
      </c>
      <c r="H71" s="11">
        <v>105651.85000000003</v>
      </c>
    </row>
    <row r="72" spans="6:18" x14ac:dyDescent="0.25">
      <c r="F72" s="10" t="s">
        <v>26</v>
      </c>
      <c r="G72" s="11">
        <v>80155.98</v>
      </c>
      <c r="H72" s="11">
        <v>80155.98</v>
      </c>
    </row>
    <row r="73" spans="6:18" x14ac:dyDescent="0.25">
      <c r="F73" s="10" t="s">
        <v>21</v>
      </c>
      <c r="G73" s="11">
        <v>127190.62000000001</v>
      </c>
      <c r="H73" s="11">
        <v>127190.62000000001</v>
      </c>
      <c r="O73" s="9" t="s">
        <v>4</v>
      </c>
      <c r="P73" t="s">
        <v>367</v>
      </c>
    </row>
    <row r="74" spans="6:18" x14ac:dyDescent="0.25">
      <c r="F74" s="10" t="s">
        <v>19</v>
      </c>
      <c r="G74" s="11">
        <v>98628.089999999982</v>
      </c>
      <c r="H74" s="11">
        <v>98628.089999999982</v>
      </c>
      <c r="O74" s="18" t="s">
        <v>366</v>
      </c>
    </row>
    <row r="75" spans="6:18" x14ac:dyDescent="0.25">
      <c r="F75" s="10" t="s">
        <v>328</v>
      </c>
      <c r="G75" s="11">
        <v>411626.53999999969</v>
      </c>
      <c r="H75" s="11">
        <v>411626.54000000004</v>
      </c>
      <c r="O75" s="9" t="s">
        <v>321</v>
      </c>
      <c r="P75" s="9" t="s">
        <v>335</v>
      </c>
    </row>
    <row r="76" spans="6:18" x14ac:dyDescent="0.25">
      <c r="O76" s="9" t="s">
        <v>325</v>
      </c>
      <c r="P76" t="s">
        <v>326</v>
      </c>
      <c r="Q76" t="s">
        <v>327</v>
      </c>
      <c r="R76" t="s">
        <v>328</v>
      </c>
    </row>
    <row r="77" spans="6:18" x14ac:dyDescent="0.25">
      <c r="O77" s="10" t="s">
        <v>25</v>
      </c>
      <c r="P77">
        <v>83732.830000000016</v>
      </c>
      <c r="Q77">
        <v>81620.740000000005</v>
      </c>
      <c r="R77">
        <v>165353.57</v>
      </c>
    </row>
    <row r="78" spans="6:18" x14ac:dyDescent="0.25">
      <c r="O78" s="10" t="s">
        <v>23</v>
      </c>
      <c r="P78">
        <v>87038.010000000009</v>
      </c>
      <c r="Q78">
        <v>55919.660000000018</v>
      </c>
      <c r="R78">
        <v>142957.67000000004</v>
      </c>
    </row>
    <row r="79" spans="6:18" x14ac:dyDescent="0.25">
      <c r="O79" s="10" t="s">
        <v>13</v>
      </c>
      <c r="P79">
        <v>63549.779999999984</v>
      </c>
      <c r="Q79">
        <v>64330.260000000024</v>
      </c>
      <c r="R79">
        <v>127880.04000000001</v>
      </c>
    </row>
    <row r="80" spans="6:18" x14ac:dyDescent="0.25">
      <c r="O80" s="10" t="s">
        <v>18</v>
      </c>
      <c r="P80">
        <v>37447.310000000005</v>
      </c>
      <c r="Q80">
        <v>109494.29000000001</v>
      </c>
      <c r="R80">
        <v>146941.6</v>
      </c>
    </row>
    <row r="81" spans="15:18" x14ac:dyDescent="0.25">
      <c r="O81" s="10" t="s">
        <v>15</v>
      </c>
      <c r="P81">
        <v>42008.6</v>
      </c>
      <c r="Q81">
        <v>105919.48000000004</v>
      </c>
      <c r="R81">
        <v>147928.08000000005</v>
      </c>
    </row>
    <row r="82" spans="15:18" x14ac:dyDescent="0.25">
      <c r="O82" s="10" t="s">
        <v>9</v>
      </c>
      <c r="P82">
        <v>51867.46</v>
      </c>
      <c r="Q82">
        <v>58320.259999999995</v>
      </c>
      <c r="R82">
        <v>110187.72</v>
      </c>
    </row>
    <row r="83" spans="15:18" x14ac:dyDescent="0.25">
      <c r="O83" s="10" t="s">
        <v>328</v>
      </c>
      <c r="P83">
        <v>365643.99</v>
      </c>
      <c r="Q83">
        <v>475604.69000000012</v>
      </c>
      <c r="R83">
        <v>841248.68</v>
      </c>
    </row>
  </sheetData>
  <pageMargins left="0.7" right="0.7" top="0.75" bottom="0.75" header="0.3" footer="0.3"/>
  <pageSetup paperSize="9"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80C5-93DF-4B07-A4A5-D16B4170A49E}">
  <dimension ref="C9"/>
  <sheetViews>
    <sheetView showGridLines="0" tabSelected="1" topLeftCell="C1" zoomScale="86" zoomScaleNormal="86" zoomScaleSheetLayoutView="50" workbookViewId="0">
      <selection activeCell="K2" sqref="K2"/>
    </sheetView>
  </sheetViews>
  <sheetFormatPr defaultRowHeight="15" x14ac:dyDescent="0.25"/>
  <cols>
    <col min="1" max="16384" width="9.140625" style="14"/>
  </cols>
  <sheetData>
    <row r="9" spans="3:3" x14ac:dyDescent="0.25">
      <c r="C9" s="16"/>
    </row>
  </sheetData>
  <pageMargins left="0.7" right="0.7" top="0.75" bottom="0.75" header="0.3" footer="0.3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Sales Data</vt:lpstr>
      <vt:lpstr>Pivot tables and measures</vt:lpstr>
      <vt:lpstr>Dashboard</vt:lpstr>
      <vt:lpstr>cy_cost</vt:lpstr>
      <vt:lpstr>cy_profit</vt:lpstr>
      <vt:lpstr>cy_quantity</vt:lpstr>
      <vt:lpstr>cy_sales</vt:lpstr>
      <vt:lpstr>ly_cost</vt:lpstr>
      <vt:lpstr>ly_profit</vt:lpstr>
      <vt:lpstr>ly_quantity</vt:lpstr>
      <vt:lpstr>ly_sales</vt:lpstr>
      <vt:lpstr>total_cost</vt:lpstr>
      <vt:lpstr>total_profit</vt:lpstr>
      <vt:lpstr>total_quantity</vt:lpstr>
      <vt:lpstr>total_sales</vt:lpstr>
      <vt:lpstr>YoY_cost</vt:lpstr>
      <vt:lpstr>YoY_profit</vt:lpstr>
      <vt:lpstr>YOY_quantity</vt:lpstr>
      <vt:lpstr>YoY_sales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 Akinyemi</dc:creator>
  <cp:lastModifiedBy>Taiwo Akinyemi</cp:lastModifiedBy>
  <dcterms:created xsi:type="dcterms:W3CDTF">2025-08-22T23:47:42Z</dcterms:created>
  <dcterms:modified xsi:type="dcterms:W3CDTF">2025-12-22T23:59:35Z</dcterms:modified>
</cp:coreProperties>
</file>